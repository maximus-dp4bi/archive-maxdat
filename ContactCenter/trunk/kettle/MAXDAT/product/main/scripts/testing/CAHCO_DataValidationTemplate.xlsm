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8" windowWidth="14808" windowHeight="8016" firstSheet="9" activeTab="23"/>
  </bookViews>
  <sheets>
    <sheet name="Control Center" sheetId="7" r:id="rId1"/>
    <sheet name="Rule Validation" sheetId="1" r:id="rId2"/>
    <sheet name="Report Validation Scripts" sheetId="18" r:id="rId3"/>
    <sheet name="CF1" sheetId="2" r:id="rId4"/>
    <sheet name="CF4" sheetId="8" r:id="rId5"/>
    <sheet name="CF5" sheetId="9" r:id="rId6"/>
    <sheet name="PP1" sheetId="10" r:id="rId7"/>
    <sheet name="PP2" sheetId="11" r:id="rId8"/>
    <sheet name="PP3" sheetId="12" r:id="rId9"/>
    <sheet name="PP4" sheetId="26" r:id="rId10"/>
    <sheet name="PP5" sheetId="17" r:id="rId11"/>
    <sheet name="PP7 - 15" sheetId="21" r:id="rId12"/>
    <sheet name="PP16" sheetId="19" r:id="rId13"/>
    <sheet name="PP17" sheetId="13" r:id="rId14"/>
    <sheet name="PP18" sheetId="14" r:id="rId15"/>
    <sheet name="PP19" sheetId="15" r:id="rId16"/>
    <sheet name="PP21" sheetId="16" r:id="rId17"/>
    <sheet name="CD1" sheetId="22" r:id="rId18"/>
    <sheet name="CD2" sheetId="23" r:id="rId19"/>
    <sheet name="CD3" sheetId="24" r:id="rId20"/>
    <sheet name="CD4" sheetId="25" r:id="rId21"/>
    <sheet name="ARG1" sheetId="29" r:id="rId22"/>
    <sheet name="ARG4" sheetId="31" r:id="rId23"/>
    <sheet name="ARG5" sheetId="32" r:id="rId24"/>
  </sheets>
  <definedNames>
    <definedName name="_xlnm._FilterDatabase" localSheetId="3" hidden="1">'CF1'!$K$1:$L$1</definedName>
    <definedName name="_xlnm._FilterDatabase" localSheetId="12" hidden="1">'PP16'!$P$1:$S$1</definedName>
    <definedName name="_xlnm._FilterDatabase" localSheetId="9" hidden="1">'PP4'!$J$1:$P$36</definedName>
    <definedName name="_xlnm._FilterDatabase" localSheetId="11" hidden="1">'PP7 - 15'!$AK$1:$BC$339</definedName>
    <definedName name="ExternalData_1" localSheetId="3" hidden="1">'CF1'!$A$1:$D$57</definedName>
    <definedName name="ExternalData_1" localSheetId="9" hidden="1">'PP4'!$A$1:$H$46</definedName>
    <definedName name="ExternalData_1" localSheetId="11" hidden="1">'PP7 - 15'!$A$1:$Q$339</definedName>
  </definedNames>
  <calcPr calcId="152511"/>
</workbook>
</file>

<file path=xl/calcChain.xml><?xml version="1.0" encoding="utf-8"?>
<calcChain xmlns="http://schemas.openxmlformats.org/spreadsheetml/2006/main">
  <c r="T46" i="26" l="1"/>
  <c r="S46" i="26"/>
  <c r="R46" i="26"/>
  <c r="T45" i="26"/>
  <c r="S45" i="26"/>
  <c r="R45" i="26"/>
  <c r="T44" i="26"/>
  <c r="S44" i="26"/>
  <c r="R44" i="26"/>
  <c r="T43" i="26"/>
  <c r="S43" i="26"/>
  <c r="R43" i="26"/>
  <c r="T42" i="26"/>
  <c r="S42" i="26"/>
  <c r="R42" i="26"/>
  <c r="T41" i="26"/>
  <c r="S41" i="26"/>
  <c r="R41" i="26"/>
  <c r="T40" i="26"/>
  <c r="S40" i="26"/>
  <c r="R40" i="26"/>
  <c r="T39" i="26"/>
  <c r="S39" i="26"/>
  <c r="R39" i="26"/>
  <c r="T38" i="26"/>
  <c r="S38" i="26"/>
  <c r="R38" i="26"/>
  <c r="T37" i="26"/>
  <c r="S37" i="26"/>
  <c r="R37" i="26"/>
  <c r="T34" i="26"/>
  <c r="S34" i="26"/>
  <c r="R34" i="26"/>
  <c r="T33" i="26"/>
  <c r="S33" i="26"/>
  <c r="R33" i="26"/>
  <c r="T32" i="26"/>
  <c r="S32" i="26"/>
  <c r="R32" i="26"/>
  <c r="T31" i="26"/>
  <c r="S31" i="26"/>
  <c r="R31" i="26"/>
  <c r="T30" i="26"/>
  <c r="S30" i="26"/>
  <c r="R30" i="26"/>
  <c r="T29" i="26"/>
  <c r="S29" i="26"/>
  <c r="R29" i="26"/>
  <c r="T28" i="26"/>
  <c r="S28" i="26"/>
  <c r="R28" i="26"/>
  <c r="T27" i="26"/>
  <c r="S27" i="26"/>
  <c r="R27" i="26"/>
  <c r="T26" i="26"/>
  <c r="S26" i="26"/>
  <c r="R26" i="26"/>
  <c r="T25" i="26"/>
  <c r="S25" i="26"/>
  <c r="R25" i="26"/>
  <c r="T24" i="26"/>
  <c r="S24" i="26"/>
  <c r="R24" i="26"/>
  <c r="T23" i="26"/>
  <c r="S23" i="26"/>
  <c r="R23" i="26"/>
  <c r="T22" i="26"/>
  <c r="S22" i="26"/>
  <c r="R22" i="26"/>
  <c r="T21" i="26"/>
  <c r="S21" i="26"/>
  <c r="R21" i="26"/>
  <c r="T20" i="26"/>
  <c r="S20" i="26"/>
  <c r="R20" i="26"/>
  <c r="T19" i="26"/>
  <c r="S19" i="26"/>
  <c r="R19" i="26"/>
  <c r="T18" i="26"/>
  <c r="S18" i="26"/>
  <c r="R18" i="26"/>
  <c r="T17" i="26"/>
  <c r="S17" i="26"/>
  <c r="R17" i="26"/>
  <c r="T16" i="26"/>
  <c r="S16" i="26"/>
  <c r="R16" i="26"/>
  <c r="T15" i="26"/>
  <c r="S15" i="26"/>
  <c r="R15" i="26"/>
  <c r="T14" i="26"/>
  <c r="S14" i="26"/>
  <c r="R14" i="26"/>
  <c r="T13" i="26"/>
  <c r="S13" i="26"/>
  <c r="R13" i="26"/>
  <c r="T12" i="26"/>
  <c r="S12" i="26"/>
  <c r="R12" i="26"/>
  <c r="T11" i="26"/>
  <c r="S11" i="26"/>
  <c r="R11" i="26"/>
  <c r="T10" i="26"/>
  <c r="S10" i="26"/>
  <c r="R10" i="26"/>
  <c r="T9" i="26"/>
  <c r="S9" i="26"/>
  <c r="R9" i="26"/>
  <c r="T8" i="26"/>
  <c r="S8" i="26"/>
  <c r="R8" i="26"/>
  <c r="T7" i="26"/>
  <c r="S7" i="26"/>
  <c r="R7" i="26"/>
  <c r="T6" i="26"/>
  <c r="S6" i="26"/>
  <c r="R6" i="26"/>
  <c r="T5" i="26"/>
  <c r="S5" i="26"/>
  <c r="R5" i="26"/>
  <c r="T4" i="26"/>
  <c r="S4" i="26"/>
  <c r="R4" i="26"/>
  <c r="T3" i="26"/>
  <c r="S3" i="26"/>
  <c r="R3" i="26"/>
  <c r="T2" i="26"/>
  <c r="S2" i="26"/>
  <c r="R2" i="26"/>
  <c r="Q500" i="13" l="1"/>
  <c r="Q501" i="13"/>
  <c r="Q502" i="13"/>
  <c r="Q503" i="13"/>
  <c r="Q504" i="13"/>
  <c r="Q505" i="13"/>
  <c r="Q506" i="13"/>
  <c r="Q507" i="13"/>
  <c r="Q508" i="13"/>
  <c r="Q509" i="13"/>
  <c r="Q510" i="13"/>
  <c r="Q511" i="13"/>
  <c r="Q512" i="13"/>
  <c r="Q513" i="13"/>
  <c r="Q514" i="13"/>
  <c r="Q515" i="13"/>
  <c r="Q516" i="13"/>
  <c r="Q517" i="13"/>
  <c r="Q518" i="13"/>
  <c r="Q519" i="13"/>
  <c r="Q520" i="13"/>
  <c r="Q521" i="13"/>
  <c r="Q522" i="13"/>
  <c r="Q523" i="13"/>
  <c r="Q524" i="13"/>
  <c r="Q525" i="13"/>
  <c r="Q526" i="13"/>
  <c r="Q527" i="13"/>
  <c r="Q528" i="13"/>
  <c r="Q529" i="13"/>
  <c r="Q530" i="13"/>
  <c r="Q531" i="13"/>
  <c r="Q532" i="13"/>
  <c r="Q533" i="13"/>
  <c r="Q534" i="13"/>
  <c r="Q535" i="13"/>
  <c r="Q536" i="13"/>
  <c r="Q537" i="13"/>
  <c r="Q538" i="13"/>
  <c r="Q539" i="13"/>
  <c r="Q540" i="13"/>
  <c r="Q541" i="13"/>
  <c r="Q542" i="13"/>
  <c r="Q543" i="13"/>
  <c r="Q544" i="13"/>
  <c r="Q545" i="13"/>
  <c r="Q546" i="13"/>
  <c r="Q547" i="13"/>
  <c r="Q548" i="13"/>
  <c r="Q549" i="13"/>
  <c r="Q550" i="13"/>
  <c r="Q551" i="13"/>
  <c r="Q552" i="13"/>
  <c r="Q553" i="13"/>
  <c r="Q554" i="13"/>
  <c r="Q555" i="13"/>
  <c r="Q556" i="13"/>
  <c r="Q557" i="13"/>
  <c r="Q558" i="13"/>
  <c r="Q559" i="13"/>
  <c r="Q560" i="13"/>
  <c r="Q561" i="13"/>
  <c r="Q562" i="13"/>
  <c r="Q563" i="13"/>
  <c r="Q564" i="13"/>
  <c r="Q565" i="13"/>
  <c r="Q566" i="13"/>
  <c r="Q567" i="13"/>
  <c r="Q568" i="13"/>
  <c r="Q569" i="13"/>
  <c r="Q570" i="13"/>
  <c r="Q571" i="13"/>
  <c r="Q572" i="13"/>
  <c r="Q573" i="13"/>
  <c r="Q574" i="13"/>
  <c r="Q575" i="13"/>
  <c r="Q576" i="13"/>
  <c r="Q577" i="13"/>
  <c r="Q578" i="13"/>
  <c r="Q579" i="13"/>
  <c r="Q580" i="13"/>
  <c r="Q581" i="13"/>
  <c r="Q582" i="13"/>
  <c r="Q583" i="13"/>
  <c r="Q584" i="13"/>
  <c r="Q585" i="13"/>
  <c r="Q586" i="13"/>
  <c r="Q587" i="13"/>
  <c r="Q588" i="13"/>
  <c r="Q589" i="13"/>
  <c r="Q590" i="13"/>
  <c r="Q591" i="13"/>
  <c r="Q592" i="13"/>
  <c r="Q593" i="13"/>
  <c r="Q594" i="13"/>
  <c r="Q595" i="13"/>
  <c r="Q596" i="13"/>
  <c r="Q597" i="13"/>
  <c r="Q598" i="13"/>
  <c r="Q599" i="13"/>
  <c r="Q600" i="13"/>
  <c r="Q601" i="13"/>
  <c r="Q602" i="13"/>
  <c r="Q603" i="13"/>
  <c r="Q604" i="13"/>
  <c r="Q605" i="13"/>
  <c r="Q606" i="13"/>
  <c r="Q607" i="13"/>
  <c r="Q608" i="13"/>
  <c r="Q609" i="13"/>
  <c r="Q610" i="13"/>
  <c r="Q611" i="13"/>
  <c r="Q612" i="13"/>
  <c r="Q613" i="13"/>
  <c r="Q614" i="13"/>
  <c r="Q615" i="13"/>
  <c r="Q616" i="13"/>
  <c r="Q617" i="13"/>
  <c r="Q618" i="13"/>
  <c r="Q619" i="13"/>
  <c r="Q620" i="13"/>
  <c r="Q621" i="13"/>
  <c r="Q622" i="13"/>
  <c r="Q623" i="13"/>
  <c r="Q624" i="13"/>
  <c r="Q625" i="13"/>
  <c r="Q626" i="13"/>
  <c r="Q627" i="13"/>
  <c r="Q478" i="13"/>
  <c r="Q479" i="13"/>
  <c r="Q480" i="13"/>
  <c r="Q481" i="13"/>
  <c r="Q482" i="13"/>
  <c r="Q483" i="13"/>
  <c r="Q484" i="13"/>
  <c r="Q485" i="13"/>
  <c r="Q486" i="13"/>
  <c r="Q487" i="13"/>
  <c r="Q488" i="13"/>
  <c r="Q489" i="13"/>
  <c r="Q490" i="13"/>
  <c r="Q491" i="13"/>
  <c r="Q492" i="13"/>
  <c r="Q493" i="13"/>
  <c r="Q494" i="13"/>
  <c r="Q495" i="13"/>
  <c r="Q496" i="13"/>
  <c r="Q497" i="13"/>
  <c r="Q498" i="13"/>
  <c r="Q499" i="13"/>
  <c r="P2" i="19"/>
  <c r="P3" i="19"/>
  <c r="L44" i="2" l="1"/>
  <c r="L45" i="2"/>
  <c r="L46" i="2"/>
  <c r="L47" i="2"/>
  <c r="L48" i="2"/>
  <c r="L49" i="2"/>
  <c r="L50" i="2"/>
  <c r="L51" i="2"/>
  <c r="L52" i="2"/>
  <c r="L53" i="2"/>
  <c r="L54" i="2"/>
  <c r="L55" i="2"/>
  <c r="L56" i="2"/>
  <c r="L57" i="2"/>
  <c r="K57" i="2"/>
  <c r="K44" i="2"/>
  <c r="K45" i="2"/>
  <c r="K46" i="2"/>
  <c r="K47" i="2"/>
  <c r="K48" i="2"/>
  <c r="K49" i="2"/>
  <c r="K50" i="2"/>
  <c r="K51" i="2"/>
  <c r="K52" i="2"/>
  <c r="K53" i="2"/>
  <c r="K54" i="2"/>
  <c r="K55" i="2"/>
  <c r="K56" i="2"/>
  <c r="M41" i="25" l="1"/>
  <c r="G41" i="25"/>
  <c r="S3" i="19" l="1"/>
  <c r="R3" i="19"/>
  <c r="Q3" i="19"/>
  <c r="BC39" i="21"/>
  <c r="BB39" i="21"/>
  <c r="BA39" i="21"/>
  <c r="AZ39" i="21"/>
  <c r="AY39" i="21"/>
  <c r="AX39" i="21"/>
  <c r="AW39" i="21"/>
  <c r="AV39" i="21"/>
  <c r="AU39" i="21"/>
  <c r="AT39" i="21"/>
  <c r="AS39" i="21"/>
  <c r="AR39" i="21"/>
  <c r="AQ39" i="21"/>
  <c r="AP39" i="21"/>
  <c r="AN39" i="21"/>
  <c r="AM39" i="21"/>
  <c r="AL39" i="21"/>
  <c r="AK39" i="21"/>
  <c r="BC38" i="21"/>
  <c r="BB38" i="21"/>
  <c r="BA38" i="21"/>
  <c r="AZ38" i="21"/>
  <c r="AY38" i="21"/>
  <c r="AX38" i="21"/>
  <c r="AW38" i="21"/>
  <c r="AV38" i="21"/>
  <c r="AU38" i="21"/>
  <c r="AT38" i="21"/>
  <c r="AS38" i="21"/>
  <c r="AR38" i="21"/>
  <c r="AQ38" i="21"/>
  <c r="AP38" i="21"/>
  <c r="AN38" i="21"/>
  <c r="AM38" i="21"/>
  <c r="AL38" i="21"/>
  <c r="AK38" i="21"/>
  <c r="BC37" i="21"/>
  <c r="BB37" i="21"/>
  <c r="BA37" i="21"/>
  <c r="AZ37" i="21"/>
  <c r="AY37" i="21"/>
  <c r="AX37" i="21"/>
  <c r="AW37" i="21"/>
  <c r="AV37" i="21"/>
  <c r="AU37" i="21"/>
  <c r="AT37" i="21"/>
  <c r="AS37" i="21"/>
  <c r="AR37" i="21"/>
  <c r="AQ37" i="21"/>
  <c r="AP37" i="21"/>
  <c r="AN37" i="21"/>
  <c r="AM37" i="21"/>
  <c r="AL37" i="21"/>
  <c r="AK37" i="21"/>
  <c r="BC36" i="21"/>
  <c r="BB36" i="21"/>
  <c r="BA36" i="21"/>
  <c r="AZ36" i="21"/>
  <c r="AY36" i="21"/>
  <c r="AX36" i="21"/>
  <c r="AW36" i="21"/>
  <c r="AV36" i="21"/>
  <c r="AU36" i="21"/>
  <c r="AT36" i="21"/>
  <c r="AS36" i="21"/>
  <c r="AR36" i="21"/>
  <c r="AQ36" i="21"/>
  <c r="AP36" i="21"/>
  <c r="AN36" i="21"/>
  <c r="AM36" i="21"/>
  <c r="AL36" i="21"/>
  <c r="AK36" i="21"/>
  <c r="BC35" i="21"/>
  <c r="BB35" i="21"/>
  <c r="BA35" i="21"/>
  <c r="AZ35" i="21"/>
  <c r="AY35" i="21"/>
  <c r="AX35" i="21"/>
  <c r="AW35" i="21"/>
  <c r="AV35" i="21"/>
  <c r="AU35" i="21"/>
  <c r="AT35" i="21"/>
  <c r="AS35" i="21"/>
  <c r="AR35" i="21"/>
  <c r="AQ35" i="21"/>
  <c r="AP35" i="21"/>
  <c r="AN35" i="21"/>
  <c r="AM35" i="21"/>
  <c r="AL35" i="21"/>
  <c r="AK35" i="21"/>
  <c r="BC34" i="21"/>
  <c r="BB34" i="21"/>
  <c r="BA34" i="21"/>
  <c r="AZ34" i="21"/>
  <c r="AY34" i="21"/>
  <c r="AX34" i="21"/>
  <c r="AW34" i="21"/>
  <c r="AV34" i="21"/>
  <c r="AU34" i="21"/>
  <c r="AT34" i="21"/>
  <c r="AS34" i="21"/>
  <c r="AR34" i="21"/>
  <c r="AQ34" i="21"/>
  <c r="AP34" i="21"/>
  <c r="AN34" i="21"/>
  <c r="AM34" i="21"/>
  <c r="AL34" i="21"/>
  <c r="AK34" i="21"/>
  <c r="BC33" i="21"/>
  <c r="BB33" i="21"/>
  <c r="BA33" i="21"/>
  <c r="AZ33" i="21"/>
  <c r="AY33" i="21"/>
  <c r="AX33" i="21"/>
  <c r="AW33" i="21"/>
  <c r="AV33" i="21"/>
  <c r="AU33" i="21"/>
  <c r="AT33" i="21"/>
  <c r="AS33" i="21"/>
  <c r="AR33" i="21"/>
  <c r="AQ33" i="21"/>
  <c r="AP33" i="21"/>
  <c r="AN33" i="21"/>
  <c r="AM33" i="21"/>
  <c r="AL33" i="21"/>
  <c r="AK33" i="21"/>
  <c r="BC32" i="21"/>
  <c r="BB32" i="21"/>
  <c r="BA32" i="21"/>
  <c r="AZ32" i="21"/>
  <c r="AY32" i="21"/>
  <c r="AX32" i="21"/>
  <c r="AW32" i="21"/>
  <c r="AV32" i="21"/>
  <c r="AU32" i="21"/>
  <c r="AT32" i="21"/>
  <c r="AS32" i="21"/>
  <c r="AR32" i="21"/>
  <c r="AQ32" i="21"/>
  <c r="AP32" i="21"/>
  <c r="AN32" i="21"/>
  <c r="AM32" i="21"/>
  <c r="AL32" i="21"/>
  <c r="AK32" i="21"/>
  <c r="BC31" i="21"/>
  <c r="BB31" i="21"/>
  <c r="BA31" i="21"/>
  <c r="AZ31" i="21"/>
  <c r="AY31" i="21"/>
  <c r="AX31" i="21"/>
  <c r="AW31" i="21"/>
  <c r="AV31" i="21"/>
  <c r="AU31" i="21"/>
  <c r="AT31" i="21"/>
  <c r="AS31" i="21"/>
  <c r="AR31" i="21"/>
  <c r="AQ31" i="21"/>
  <c r="AP31" i="21"/>
  <c r="AN31" i="21"/>
  <c r="AM31" i="21"/>
  <c r="AL31" i="21"/>
  <c r="AK31" i="21"/>
  <c r="BC30" i="21"/>
  <c r="BB30" i="21"/>
  <c r="BA30" i="21"/>
  <c r="AZ30" i="21"/>
  <c r="AY30" i="21"/>
  <c r="AX30" i="21"/>
  <c r="AW30" i="21"/>
  <c r="AV30" i="21"/>
  <c r="AU30" i="21"/>
  <c r="AT30" i="21"/>
  <c r="AS30" i="21"/>
  <c r="AR30" i="21"/>
  <c r="AQ30" i="21"/>
  <c r="AP30" i="21"/>
  <c r="AN30" i="21"/>
  <c r="AM30" i="21"/>
  <c r="AL30" i="21"/>
  <c r="AK30" i="21"/>
  <c r="BC29" i="21"/>
  <c r="BB29" i="21"/>
  <c r="BA29" i="21"/>
  <c r="AZ29" i="21"/>
  <c r="AY29" i="21"/>
  <c r="AX29" i="21"/>
  <c r="AW29" i="21"/>
  <c r="AV29" i="21"/>
  <c r="AU29" i="21"/>
  <c r="AT29" i="21"/>
  <c r="AS29" i="21"/>
  <c r="AR29" i="21"/>
  <c r="AQ29" i="21"/>
  <c r="AP29" i="21"/>
  <c r="AN29" i="21"/>
  <c r="AM29" i="21"/>
  <c r="AL29" i="21"/>
  <c r="AK29" i="21"/>
  <c r="BC28" i="21"/>
  <c r="BB28" i="21"/>
  <c r="BA28" i="21"/>
  <c r="AZ28" i="21"/>
  <c r="AY28" i="21"/>
  <c r="AX28" i="21"/>
  <c r="AW28" i="21"/>
  <c r="AV28" i="21"/>
  <c r="AU28" i="21"/>
  <c r="AT28" i="21"/>
  <c r="AS28" i="21"/>
  <c r="AR28" i="21"/>
  <c r="AQ28" i="21"/>
  <c r="AP28" i="21"/>
  <c r="AN28" i="21"/>
  <c r="AM28" i="21"/>
  <c r="AL28" i="21"/>
  <c r="AK28" i="21"/>
  <c r="BC27" i="21"/>
  <c r="BB27" i="21"/>
  <c r="BA27" i="21"/>
  <c r="AZ27" i="21"/>
  <c r="AY27" i="21"/>
  <c r="AX27" i="21"/>
  <c r="AW27" i="21"/>
  <c r="AV27" i="21"/>
  <c r="AU27" i="21"/>
  <c r="AT27" i="21"/>
  <c r="AS27" i="21"/>
  <c r="AR27" i="21"/>
  <c r="AQ27" i="21"/>
  <c r="AP27" i="21"/>
  <c r="AN27" i="21"/>
  <c r="AM27" i="21"/>
  <c r="AO27" i="21" s="1"/>
  <c r="AL27" i="21"/>
  <c r="AK27" i="21"/>
  <c r="BC26" i="21"/>
  <c r="BB26" i="21"/>
  <c r="BA26" i="21"/>
  <c r="AZ26" i="21"/>
  <c r="AY26" i="21"/>
  <c r="AX26" i="21"/>
  <c r="AW26" i="21"/>
  <c r="AV26" i="21"/>
  <c r="AU26" i="21"/>
  <c r="AT26" i="21"/>
  <c r="AS26" i="21"/>
  <c r="AR26" i="21"/>
  <c r="AQ26" i="21"/>
  <c r="AP26" i="21"/>
  <c r="AN26" i="21"/>
  <c r="AM26" i="21"/>
  <c r="AL26" i="21"/>
  <c r="AK26" i="21"/>
  <c r="BC25" i="21"/>
  <c r="BB25" i="21"/>
  <c r="BA25" i="21"/>
  <c r="AZ25" i="21"/>
  <c r="AY25" i="21"/>
  <c r="AX25" i="21"/>
  <c r="AW25" i="21"/>
  <c r="AV25" i="21"/>
  <c r="AU25" i="21"/>
  <c r="AT25" i="21"/>
  <c r="AS25" i="21"/>
  <c r="AR25" i="21"/>
  <c r="AQ25" i="21"/>
  <c r="AP25" i="21"/>
  <c r="AN25" i="21"/>
  <c r="AM25" i="21"/>
  <c r="AL25" i="21"/>
  <c r="AK25" i="21"/>
  <c r="BC24" i="21"/>
  <c r="BB24" i="21"/>
  <c r="BA24" i="21"/>
  <c r="AZ24" i="21"/>
  <c r="AY24" i="21"/>
  <c r="AX24" i="21"/>
  <c r="AW24" i="21"/>
  <c r="AV24" i="21"/>
  <c r="AU24" i="21"/>
  <c r="AT24" i="21"/>
  <c r="AS24" i="21"/>
  <c r="AR24" i="21"/>
  <c r="AQ24" i="21"/>
  <c r="AP24" i="21"/>
  <c r="AN24" i="21"/>
  <c r="AM24" i="21"/>
  <c r="AO24" i="21" s="1"/>
  <c r="AL24" i="21"/>
  <c r="AK24" i="21"/>
  <c r="BC23" i="21"/>
  <c r="BB23" i="21"/>
  <c r="BA23" i="21"/>
  <c r="AZ23" i="21"/>
  <c r="AY23" i="21"/>
  <c r="AX23" i="21"/>
  <c r="AW23" i="21"/>
  <c r="AV23" i="21"/>
  <c r="AU23" i="21"/>
  <c r="AT23" i="21"/>
  <c r="AS23" i="21"/>
  <c r="AR23" i="21"/>
  <c r="AQ23" i="21"/>
  <c r="AP23" i="21"/>
  <c r="AN23" i="21"/>
  <c r="AM23" i="21"/>
  <c r="AL23" i="21"/>
  <c r="AK23" i="21"/>
  <c r="BC22" i="21"/>
  <c r="BB22" i="21"/>
  <c r="BA22" i="21"/>
  <c r="AZ22" i="21"/>
  <c r="AY22" i="21"/>
  <c r="AX22" i="21"/>
  <c r="AW22" i="21"/>
  <c r="AV22" i="21"/>
  <c r="AU22" i="21"/>
  <c r="AT22" i="21"/>
  <c r="AS22" i="21"/>
  <c r="AR22" i="21"/>
  <c r="AQ22" i="21"/>
  <c r="AP22" i="21"/>
  <c r="AN22" i="21"/>
  <c r="AM22" i="21"/>
  <c r="AL22" i="21"/>
  <c r="AK22" i="21"/>
  <c r="BC21" i="21"/>
  <c r="BB21" i="21"/>
  <c r="BA21" i="21"/>
  <c r="AZ21" i="21"/>
  <c r="AY21" i="21"/>
  <c r="AX21" i="21"/>
  <c r="AW21" i="21"/>
  <c r="AV21" i="21"/>
  <c r="AU21" i="21"/>
  <c r="AT21" i="21"/>
  <c r="AS21" i="21"/>
  <c r="AR21" i="21"/>
  <c r="AQ21" i="21"/>
  <c r="AP21" i="21"/>
  <c r="AN21" i="21"/>
  <c r="AM21" i="21"/>
  <c r="AL21" i="21"/>
  <c r="AK21" i="21"/>
  <c r="BC20" i="21"/>
  <c r="BB20" i="21"/>
  <c r="BA20" i="21"/>
  <c r="AZ20" i="21"/>
  <c r="AY20" i="21"/>
  <c r="AX20" i="21"/>
  <c r="AW20" i="21"/>
  <c r="AV20" i="21"/>
  <c r="AU20" i="21"/>
  <c r="AT20" i="21"/>
  <c r="AS20" i="21"/>
  <c r="AR20" i="21"/>
  <c r="AQ20" i="21"/>
  <c r="AP20" i="21"/>
  <c r="AN20" i="21"/>
  <c r="AM20" i="21"/>
  <c r="AO20" i="21" s="1"/>
  <c r="AL20" i="21"/>
  <c r="AK20" i="21"/>
  <c r="BC19" i="21"/>
  <c r="BB19" i="21"/>
  <c r="BA19" i="21"/>
  <c r="AZ19" i="21"/>
  <c r="AY19" i="21"/>
  <c r="AX19" i="21"/>
  <c r="AW19" i="21"/>
  <c r="AV19" i="21"/>
  <c r="AU19" i="21"/>
  <c r="AT19" i="21"/>
  <c r="AS19" i="21"/>
  <c r="AR19" i="21"/>
  <c r="AQ19" i="21"/>
  <c r="AP19" i="21"/>
  <c r="AN19" i="21"/>
  <c r="AM19" i="21"/>
  <c r="AL19" i="21"/>
  <c r="AK19" i="21"/>
  <c r="BC18" i="21"/>
  <c r="BB18" i="21"/>
  <c r="BA18" i="21"/>
  <c r="AZ18" i="21"/>
  <c r="AY18" i="21"/>
  <c r="AX18" i="21"/>
  <c r="AW18" i="21"/>
  <c r="AV18" i="21"/>
  <c r="AU18" i="21"/>
  <c r="AT18" i="21"/>
  <c r="AS18" i="21"/>
  <c r="AR18" i="21"/>
  <c r="AQ18" i="21"/>
  <c r="AP18" i="21"/>
  <c r="AN18" i="21"/>
  <c r="AM18" i="21"/>
  <c r="AL18" i="21"/>
  <c r="AK18" i="21"/>
  <c r="BC17" i="21"/>
  <c r="BB17" i="21"/>
  <c r="BA17" i="21"/>
  <c r="AZ17" i="21"/>
  <c r="AY17" i="21"/>
  <c r="AX17" i="21"/>
  <c r="AW17" i="21"/>
  <c r="AV17" i="21"/>
  <c r="AU17" i="21"/>
  <c r="AT17" i="21"/>
  <c r="AS17" i="21"/>
  <c r="AR17" i="21"/>
  <c r="AQ17" i="21"/>
  <c r="AP17" i="21"/>
  <c r="AN17" i="21"/>
  <c r="AM17" i="21"/>
  <c r="AL17" i="21"/>
  <c r="AK17" i="21"/>
  <c r="BC16" i="21"/>
  <c r="BB16" i="21"/>
  <c r="BA16" i="21"/>
  <c r="AZ16" i="21"/>
  <c r="AY16" i="21"/>
  <c r="AX16" i="21"/>
  <c r="AW16" i="21"/>
  <c r="AV16" i="21"/>
  <c r="AU16" i="21"/>
  <c r="AT16" i="21"/>
  <c r="AS16" i="21"/>
  <c r="AR16" i="21"/>
  <c r="AQ16" i="21"/>
  <c r="AP16" i="21"/>
  <c r="AN16" i="21"/>
  <c r="AO16" i="21" s="1"/>
  <c r="AM16" i="21"/>
  <c r="AL16" i="21"/>
  <c r="AK16" i="21"/>
  <c r="BC15" i="21"/>
  <c r="BB15" i="21"/>
  <c r="BA15" i="21"/>
  <c r="AZ15" i="21"/>
  <c r="AY15" i="21"/>
  <c r="AX15" i="21"/>
  <c r="AW15" i="21"/>
  <c r="AV15" i="21"/>
  <c r="AU15" i="21"/>
  <c r="AT15" i="21"/>
  <c r="AS15" i="21"/>
  <c r="AR15" i="21"/>
  <c r="AQ15" i="21"/>
  <c r="AP15" i="21"/>
  <c r="AN15" i="21"/>
  <c r="AM15" i="21"/>
  <c r="AL15" i="21"/>
  <c r="AK15" i="21"/>
  <c r="BC14" i="21"/>
  <c r="BB14" i="21"/>
  <c r="BA14" i="21"/>
  <c r="AZ14" i="21"/>
  <c r="AY14" i="21"/>
  <c r="AX14" i="21"/>
  <c r="AW14" i="21"/>
  <c r="AV14" i="21"/>
  <c r="AU14" i="21"/>
  <c r="AT14" i="21"/>
  <c r="AS14" i="21"/>
  <c r="AR14" i="21"/>
  <c r="AQ14" i="21"/>
  <c r="AP14" i="21"/>
  <c r="AN14" i="21"/>
  <c r="AM14" i="21"/>
  <c r="AL14" i="21"/>
  <c r="AK14" i="21"/>
  <c r="BC13" i="21"/>
  <c r="BB13" i="21"/>
  <c r="BA13" i="21"/>
  <c r="AZ13" i="21"/>
  <c r="AY13" i="21"/>
  <c r="AX13" i="21"/>
  <c r="AW13" i="21"/>
  <c r="AV13" i="21"/>
  <c r="AU13" i="21"/>
  <c r="AT13" i="21"/>
  <c r="AS13" i="21"/>
  <c r="AR13" i="21"/>
  <c r="AQ13" i="21"/>
  <c r="AP13" i="21"/>
  <c r="AN13" i="21"/>
  <c r="AM13" i="21"/>
  <c r="AL13" i="21"/>
  <c r="AK13" i="21"/>
  <c r="BC12" i="21"/>
  <c r="BB12" i="21"/>
  <c r="BA12" i="21"/>
  <c r="AZ12" i="21"/>
  <c r="AY12" i="21"/>
  <c r="AX12" i="21"/>
  <c r="AW12" i="21"/>
  <c r="AV12" i="21"/>
  <c r="AU12" i="21"/>
  <c r="AT12" i="21"/>
  <c r="AS12" i="21"/>
  <c r="AR12" i="21"/>
  <c r="AQ12" i="21"/>
  <c r="AP12" i="21"/>
  <c r="AN12" i="21"/>
  <c r="AO12" i="21" s="1"/>
  <c r="AM12" i="21"/>
  <c r="AL12" i="21"/>
  <c r="AK12" i="21"/>
  <c r="BC11" i="21"/>
  <c r="BB11" i="21"/>
  <c r="BA11" i="21"/>
  <c r="AZ11" i="21"/>
  <c r="AY11" i="21"/>
  <c r="AX11" i="21"/>
  <c r="AW11" i="21"/>
  <c r="AV11" i="21"/>
  <c r="AU11" i="21"/>
  <c r="AT11" i="21"/>
  <c r="AS11" i="21"/>
  <c r="AR11" i="21"/>
  <c r="AQ11" i="21"/>
  <c r="AP11" i="21"/>
  <c r="AN11" i="21"/>
  <c r="AM11" i="21"/>
  <c r="AL11" i="21"/>
  <c r="AK11" i="21"/>
  <c r="BC10" i="21"/>
  <c r="BB10" i="21"/>
  <c r="BA10" i="21"/>
  <c r="AZ10" i="21"/>
  <c r="AY10" i="21"/>
  <c r="AX10" i="21"/>
  <c r="AW10" i="21"/>
  <c r="AV10" i="21"/>
  <c r="AU10" i="21"/>
  <c r="AT10" i="21"/>
  <c r="AS10" i="21"/>
  <c r="AR10" i="21"/>
  <c r="AQ10" i="21"/>
  <c r="AP10" i="21"/>
  <c r="AN10" i="21"/>
  <c r="AM10" i="21"/>
  <c r="AL10" i="21"/>
  <c r="AK10" i="21"/>
  <c r="BC9" i="21"/>
  <c r="BB9" i="21"/>
  <c r="BA9" i="21"/>
  <c r="AZ9" i="21"/>
  <c r="AY9" i="21"/>
  <c r="AX9" i="21"/>
  <c r="AW9" i="21"/>
  <c r="AV9" i="21"/>
  <c r="AU9" i="21"/>
  <c r="AT9" i="21"/>
  <c r="AS9" i="21"/>
  <c r="AR9" i="21"/>
  <c r="AQ9" i="21"/>
  <c r="AP9" i="21"/>
  <c r="AN9" i="21"/>
  <c r="AM9" i="21"/>
  <c r="AL9" i="21"/>
  <c r="AK9" i="21"/>
  <c r="BC8" i="21"/>
  <c r="BB8" i="21"/>
  <c r="BA8" i="21"/>
  <c r="AZ8" i="21"/>
  <c r="AY8" i="21"/>
  <c r="AX8" i="21"/>
  <c r="AW8" i="21"/>
  <c r="AV8" i="21"/>
  <c r="AU8" i="21"/>
  <c r="AT8" i="21"/>
  <c r="AS8" i="21"/>
  <c r="AR8" i="21"/>
  <c r="AQ8" i="21"/>
  <c r="AP8" i="21"/>
  <c r="AN8" i="21"/>
  <c r="AM8" i="21"/>
  <c r="AO8" i="21" s="1"/>
  <c r="AL8" i="21"/>
  <c r="AK8" i="21"/>
  <c r="BC7" i="21"/>
  <c r="BB7" i="21"/>
  <c r="BA7" i="21"/>
  <c r="AZ7" i="21"/>
  <c r="AY7" i="21"/>
  <c r="AX7" i="21"/>
  <c r="AW7" i="21"/>
  <c r="AV7" i="21"/>
  <c r="AU7" i="21"/>
  <c r="AT7" i="21"/>
  <c r="AS7" i="21"/>
  <c r="AR7" i="21"/>
  <c r="AQ7" i="21"/>
  <c r="AP7" i="21"/>
  <c r="AN7" i="21"/>
  <c r="AM7" i="21"/>
  <c r="AL7" i="21"/>
  <c r="AK7" i="21"/>
  <c r="BC6" i="21"/>
  <c r="BB6" i="21"/>
  <c r="BA6" i="21"/>
  <c r="AZ6" i="21"/>
  <c r="AY6" i="21"/>
  <c r="AX6" i="21"/>
  <c r="AW6" i="21"/>
  <c r="AV6" i="21"/>
  <c r="AU6" i="21"/>
  <c r="AT6" i="21"/>
  <c r="AS6" i="21"/>
  <c r="AR6" i="21"/>
  <c r="AQ6" i="21"/>
  <c r="AP6" i="21"/>
  <c r="AN6" i="21"/>
  <c r="AM6" i="21"/>
  <c r="AL6" i="21"/>
  <c r="AK6" i="21"/>
  <c r="BC5" i="21"/>
  <c r="BB5" i="21"/>
  <c r="BA5" i="21"/>
  <c r="AZ5" i="21"/>
  <c r="AY5" i="21"/>
  <c r="AX5" i="21"/>
  <c r="AW5" i="21"/>
  <c r="AV5" i="21"/>
  <c r="AU5" i="21"/>
  <c r="AT5" i="21"/>
  <c r="AS5" i="21"/>
  <c r="AR5" i="21"/>
  <c r="AQ5" i="21"/>
  <c r="AP5" i="21"/>
  <c r="AN5" i="21"/>
  <c r="AM5" i="21"/>
  <c r="AL5" i="21"/>
  <c r="AK5" i="21"/>
  <c r="BC4" i="21"/>
  <c r="BB4" i="21"/>
  <c r="BA4" i="21"/>
  <c r="AZ4" i="21"/>
  <c r="AY4" i="21"/>
  <c r="AX4" i="21"/>
  <c r="AW4" i="21"/>
  <c r="AV4" i="21"/>
  <c r="AU4" i="21"/>
  <c r="AT4" i="21"/>
  <c r="AS4" i="21"/>
  <c r="AR4" i="21"/>
  <c r="AQ4" i="21"/>
  <c r="AP4" i="21"/>
  <c r="AN4" i="21"/>
  <c r="AM4" i="21"/>
  <c r="AL4" i="21"/>
  <c r="AK4" i="21"/>
  <c r="BC3" i="21"/>
  <c r="BB3" i="21"/>
  <c r="BA3" i="21"/>
  <c r="AZ3" i="21"/>
  <c r="AY3" i="21"/>
  <c r="AX3" i="21"/>
  <c r="AW3" i="21"/>
  <c r="AV3" i="21"/>
  <c r="AU3" i="21"/>
  <c r="AT3" i="21"/>
  <c r="AS3" i="21"/>
  <c r="AR3" i="21"/>
  <c r="AQ3" i="21"/>
  <c r="AP3" i="21"/>
  <c r="AN3" i="21"/>
  <c r="AM3" i="21"/>
  <c r="AL3" i="21"/>
  <c r="AK3" i="21"/>
  <c r="BC2" i="21"/>
  <c r="BB2" i="21"/>
  <c r="BA2" i="21"/>
  <c r="AZ2" i="21"/>
  <c r="AY2" i="21"/>
  <c r="AX2" i="21"/>
  <c r="AW2" i="21"/>
  <c r="AV2" i="21"/>
  <c r="AU2" i="21"/>
  <c r="AT2" i="21"/>
  <c r="AS2" i="21"/>
  <c r="AR2" i="21"/>
  <c r="AQ2" i="21"/>
  <c r="AP2" i="21"/>
  <c r="AN2" i="21"/>
  <c r="AM2" i="21"/>
  <c r="AL2" i="21"/>
  <c r="AK2" i="21"/>
  <c r="L32" i="2"/>
  <c r="L33" i="2"/>
  <c r="L34" i="2"/>
  <c r="L35" i="2"/>
  <c r="L36" i="2"/>
  <c r="L37" i="2"/>
  <c r="L38" i="2"/>
  <c r="L39" i="2"/>
  <c r="L40" i="2"/>
  <c r="L41" i="2"/>
  <c r="L42" i="2"/>
  <c r="L43" i="2"/>
  <c r="L18" i="2"/>
  <c r="L19" i="2"/>
  <c r="L20" i="2"/>
  <c r="L21" i="2"/>
  <c r="L22" i="2"/>
  <c r="L23" i="2"/>
  <c r="L24" i="2"/>
  <c r="L25" i="2"/>
  <c r="L26" i="2"/>
  <c r="L27" i="2"/>
  <c r="L28" i="2"/>
  <c r="L29" i="2"/>
  <c r="L30" i="2"/>
  <c r="L31" i="2"/>
  <c r="K38" i="2"/>
  <c r="K39" i="2"/>
  <c r="K40" i="2"/>
  <c r="K41" i="2"/>
  <c r="K42" i="2"/>
  <c r="K43" i="2"/>
  <c r="K29" i="2"/>
  <c r="K30" i="2"/>
  <c r="K31" i="2"/>
  <c r="K32" i="2"/>
  <c r="K33" i="2"/>
  <c r="K34" i="2"/>
  <c r="K35" i="2"/>
  <c r="K36" i="2"/>
  <c r="K37" i="2"/>
  <c r="K18" i="2"/>
  <c r="K19" i="2"/>
  <c r="K20" i="2"/>
  <c r="K21" i="2"/>
  <c r="K22" i="2"/>
  <c r="K23" i="2"/>
  <c r="K24" i="2"/>
  <c r="K25" i="2"/>
  <c r="K26" i="2"/>
  <c r="K27" i="2"/>
  <c r="K28" i="2"/>
  <c r="K17" i="2"/>
  <c r="AO28" i="21" l="1"/>
  <c r="AO32" i="21"/>
  <c r="AO5" i="21"/>
  <c r="AO36" i="21"/>
  <c r="AO23" i="21"/>
  <c r="AO15" i="21"/>
  <c r="AO22" i="21"/>
  <c r="AO29" i="21"/>
  <c r="AO37" i="21"/>
  <c r="AO2" i="21"/>
  <c r="AO34" i="21"/>
  <c r="AO17" i="21"/>
  <c r="AO31" i="21"/>
  <c r="AO3" i="21"/>
  <c r="AO7" i="21"/>
  <c r="AO35" i="21"/>
  <c r="AO4" i="21"/>
  <c r="AO11" i="21"/>
  <c r="AO25" i="21"/>
  <c r="AO39" i="21"/>
  <c r="AO19" i="21"/>
  <c r="AO9" i="21"/>
  <c r="AO26" i="21"/>
  <c r="AO6" i="21"/>
  <c r="AO13" i="21"/>
  <c r="AO33" i="21"/>
  <c r="AO10" i="21"/>
  <c r="AO30" i="21"/>
  <c r="AO21" i="21"/>
  <c r="AO18" i="21"/>
  <c r="AO38" i="21"/>
  <c r="AO14" i="21"/>
  <c r="Q18" i="13" l="1"/>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Q57" i="13"/>
  <c r="Q58" i="13"/>
  <c r="Q59" i="13"/>
  <c r="Q60" i="13"/>
  <c r="Q61" i="13"/>
  <c r="Q62" i="13"/>
  <c r="Q63" i="13"/>
  <c r="Q64" i="13"/>
  <c r="Q65" i="13"/>
  <c r="Q66" i="13"/>
  <c r="Q67" i="13"/>
  <c r="Q68" i="13"/>
  <c r="Q69" i="13"/>
  <c r="Q70" i="13"/>
  <c r="Q71" i="13"/>
  <c r="Q72" i="13"/>
  <c r="Q73" i="13"/>
  <c r="Q74" i="13"/>
  <c r="Q75" i="13"/>
  <c r="Q76" i="13"/>
  <c r="Q77" i="13"/>
  <c r="Q78" i="13"/>
  <c r="Q79" i="13"/>
  <c r="Q80" i="13"/>
  <c r="Q81" i="13"/>
  <c r="Q82" i="13"/>
  <c r="Q83" i="13"/>
  <c r="Q84" i="13"/>
  <c r="Q85" i="13"/>
  <c r="Q86" i="13"/>
  <c r="Q87" i="13"/>
  <c r="Q88" i="13"/>
  <c r="Q89" i="13"/>
  <c r="Q90" i="13"/>
  <c r="Q91" i="13"/>
  <c r="Q92" i="13"/>
  <c r="Q93" i="13"/>
  <c r="Q94" i="13"/>
  <c r="Q95" i="13"/>
  <c r="Q96" i="13"/>
  <c r="Q97" i="13"/>
  <c r="Q98" i="13"/>
  <c r="Q99" i="13"/>
  <c r="Q100" i="13"/>
  <c r="Q101" i="13"/>
  <c r="Q102" i="13"/>
  <c r="Q103" i="13"/>
  <c r="Q104" i="13"/>
  <c r="Q105" i="13"/>
  <c r="Q106" i="13"/>
  <c r="Q107" i="13"/>
  <c r="Q108" i="13"/>
  <c r="Q109" i="13"/>
  <c r="Q110" i="13"/>
  <c r="Q111" i="13"/>
  <c r="Q112" i="13"/>
  <c r="Q113" i="13"/>
  <c r="Q114" i="13"/>
  <c r="Q115" i="13"/>
  <c r="Q116" i="13"/>
  <c r="Q117" i="13"/>
  <c r="Q118" i="13"/>
  <c r="Q119" i="13"/>
  <c r="Q120" i="13"/>
  <c r="Q121" i="13"/>
  <c r="Q122" i="13"/>
  <c r="Q123" i="13"/>
  <c r="Q124" i="13"/>
  <c r="Q125" i="13"/>
  <c r="Q126" i="13"/>
  <c r="Q127" i="13"/>
  <c r="Q128" i="13"/>
  <c r="Q129" i="13"/>
  <c r="Q130" i="13"/>
  <c r="Q131" i="13"/>
  <c r="Q132" i="13"/>
  <c r="Q133" i="13"/>
  <c r="Q134" i="13"/>
  <c r="Q135" i="13"/>
  <c r="Q136" i="13"/>
  <c r="Q137" i="13"/>
  <c r="Q138" i="13"/>
  <c r="Q139" i="13"/>
  <c r="Q140" i="13"/>
  <c r="Q141" i="13"/>
  <c r="Q142" i="13"/>
  <c r="Q143" i="13"/>
  <c r="Q144" i="13"/>
  <c r="Q145" i="13"/>
  <c r="Q146" i="13"/>
  <c r="Q147" i="13"/>
  <c r="Q148" i="13"/>
  <c r="Q149" i="13"/>
  <c r="Q150" i="13"/>
  <c r="Q151" i="13"/>
  <c r="Q152" i="13"/>
  <c r="Q153" i="13"/>
  <c r="Q154" i="13"/>
  <c r="Q155" i="13"/>
  <c r="Q156" i="13"/>
  <c r="Q157" i="13"/>
  <c r="Q158" i="13"/>
  <c r="Q159" i="13"/>
  <c r="Q160" i="13"/>
  <c r="Q161" i="13"/>
  <c r="Q162" i="13"/>
  <c r="Q163" i="13"/>
  <c r="Q164" i="13"/>
  <c r="Q165" i="13"/>
  <c r="Q166" i="13"/>
  <c r="Q167" i="13"/>
  <c r="Q168" i="13"/>
  <c r="Q169" i="13"/>
  <c r="Q170" i="13"/>
  <c r="Q171" i="13"/>
  <c r="Q172" i="13"/>
  <c r="Q173" i="13"/>
  <c r="Q174" i="13"/>
  <c r="Q175" i="13"/>
  <c r="Q176" i="13"/>
  <c r="Q177" i="13"/>
  <c r="Q178" i="13"/>
  <c r="Q179" i="13"/>
  <c r="Q180" i="13"/>
  <c r="Q181" i="13"/>
  <c r="Q182" i="13"/>
  <c r="Q183" i="13"/>
  <c r="Q184" i="13"/>
  <c r="Q185" i="13"/>
  <c r="Q186" i="13"/>
  <c r="Q187" i="13"/>
  <c r="Q188" i="13"/>
  <c r="Q189" i="13"/>
  <c r="Q190" i="13"/>
  <c r="Q191" i="13"/>
  <c r="Q192" i="13"/>
  <c r="Q193" i="13"/>
  <c r="Q194" i="13"/>
  <c r="Q195" i="13"/>
  <c r="Q196" i="13"/>
  <c r="Q197" i="13"/>
  <c r="Q198" i="13"/>
  <c r="Q199" i="13"/>
  <c r="Q200" i="13"/>
  <c r="Q201" i="13"/>
  <c r="Q202" i="13"/>
  <c r="Q203" i="13"/>
  <c r="Q204" i="13"/>
  <c r="Q205" i="13"/>
  <c r="Q206" i="13"/>
  <c r="Q207" i="13"/>
  <c r="Q208" i="13"/>
  <c r="Q209" i="13"/>
  <c r="Q210" i="13"/>
  <c r="Q211" i="13"/>
  <c r="Q212" i="13"/>
  <c r="Q213" i="13"/>
  <c r="Q214" i="13"/>
  <c r="Q215" i="13"/>
  <c r="Q216" i="13"/>
  <c r="Q217" i="13"/>
  <c r="Q218" i="13"/>
  <c r="Q219" i="13"/>
  <c r="Q220" i="13"/>
  <c r="Q221" i="13"/>
  <c r="Q222" i="13"/>
  <c r="Q223" i="13"/>
  <c r="Q224" i="13"/>
  <c r="Q225" i="13"/>
  <c r="Q226" i="13"/>
  <c r="Q227" i="13"/>
  <c r="Q228" i="13"/>
  <c r="Q229" i="13"/>
  <c r="Q230" i="13"/>
  <c r="Q231" i="13"/>
  <c r="Q232" i="13"/>
  <c r="Q233" i="13"/>
  <c r="Q234" i="13"/>
  <c r="Q235" i="13"/>
  <c r="Q236" i="13"/>
  <c r="Q237" i="13"/>
  <c r="Q238" i="13"/>
  <c r="Q239" i="13"/>
  <c r="Q240" i="13"/>
  <c r="Q241" i="13"/>
  <c r="Q242" i="13"/>
  <c r="Q243" i="13"/>
  <c r="Q244" i="13"/>
  <c r="Q245" i="13"/>
  <c r="Q246" i="13"/>
  <c r="Q247" i="13"/>
  <c r="Q248" i="13"/>
  <c r="Q249" i="13"/>
  <c r="Q250" i="13"/>
  <c r="Q251" i="13"/>
  <c r="Q252" i="13"/>
  <c r="Q253" i="13"/>
  <c r="Q254" i="13"/>
  <c r="Q255" i="13"/>
  <c r="Q256" i="13"/>
  <c r="Q257" i="13"/>
  <c r="Q258" i="13"/>
  <c r="Q259" i="13"/>
  <c r="Q260" i="13"/>
  <c r="Q261" i="13"/>
  <c r="Q262" i="13"/>
  <c r="Q263" i="13"/>
  <c r="Q264" i="13"/>
  <c r="Q265" i="13"/>
  <c r="Q266" i="13"/>
  <c r="Q267" i="13"/>
  <c r="Q268" i="13"/>
  <c r="Q269" i="13"/>
  <c r="Q270" i="13"/>
  <c r="Q271" i="13"/>
  <c r="Q272" i="13"/>
  <c r="Q273" i="13"/>
  <c r="Q274" i="13"/>
  <c r="Q275" i="13"/>
  <c r="Q276" i="13"/>
  <c r="Q277" i="13"/>
  <c r="Q278" i="13"/>
  <c r="Q279" i="13"/>
  <c r="Q280" i="13"/>
  <c r="Q281" i="13"/>
  <c r="Q282" i="13"/>
  <c r="Q283" i="13"/>
  <c r="Q284" i="13"/>
  <c r="Q285" i="13"/>
  <c r="Q286" i="13"/>
  <c r="Q287" i="13"/>
  <c r="Q288" i="13"/>
  <c r="Q289" i="13"/>
  <c r="Q290" i="13"/>
  <c r="Q291" i="13"/>
  <c r="Q292" i="13"/>
  <c r="Q293" i="13"/>
  <c r="Q294" i="13"/>
  <c r="Q295" i="13"/>
  <c r="Q296" i="13"/>
  <c r="Q297" i="13"/>
  <c r="Q298" i="13"/>
  <c r="Q299" i="13"/>
  <c r="Q300" i="13"/>
  <c r="Q301" i="13"/>
  <c r="Q302" i="13"/>
  <c r="Q303" i="13"/>
  <c r="Q304" i="13"/>
  <c r="Q305" i="13"/>
  <c r="Q306" i="13"/>
  <c r="Q307" i="13"/>
  <c r="Q308" i="13"/>
  <c r="Q309" i="13"/>
  <c r="Q310" i="13"/>
  <c r="Q311" i="13"/>
  <c r="Q312" i="13"/>
  <c r="Q313" i="13"/>
  <c r="Q314" i="13"/>
  <c r="Q315" i="13"/>
  <c r="Q316" i="13"/>
  <c r="Q317" i="13"/>
  <c r="Q318" i="13"/>
  <c r="Q319" i="13"/>
  <c r="Q320" i="13"/>
  <c r="Q321" i="13"/>
  <c r="Q322" i="13"/>
  <c r="Q323" i="13"/>
  <c r="Q324" i="13"/>
  <c r="Q325" i="13"/>
  <c r="Q326" i="13"/>
  <c r="Q327" i="13"/>
  <c r="Q328" i="13"/>
  <c r="Q329" i="13"/>
  <c r="Q330" i="13"/>
  <c r="Q331" i="13"/>
  <c r="Q332" i="13"/>
  <c r="Q333" i="13"/>
  <c r="Q334" i="13"/>
  <c r="Q335" i="13"/>
  <c r="Q336" i="13"/>
  <c r="Q337" i="13"/>
  <c r="Q338" i="13"/>
  <c r="Q339" i="13"/>
  <c r="Q340" i="13"/>
  <c r="Q341" i="13"/>
  <c r="Q342" i="13"/>
  <c r="Q343" i="13"/>
  <c r="Q344" i="13"/>
  <c r="Q345" i="13"/>
  <c r="Q346" i="13"/>
  <c r="Q347" i="13"/>
  <c r="Q348" i="13"/>
  <c r="Q349" i="13"/>
  <c r="Q350" i="13"/>
  <c r="Q351" i="13"/>
  <c r="Q352" i="13"/>
  <c r="Q353" i="13"/>
  <c r="Q354" i="13"/>
  <c r="Q355" i="13"/>
  <c r="Q356" i="13"/>
  <c r="Q357" i="13"/>
  <c r="Q358" i="13"/>
  <c r="Q359" i="13"/>
  <c r="Q360" i="13"/>
  <c r="Q361" i="13"/>
  <c r="Q362" i="13"/>
  <c r="Q363" i="13"/>
  <c r="Q364" i="13"/>
  <c r="Q365" i="13"/>
  <c r="Q366" i="13"/>
  <c r="Q367" i="13"/>
  <c r="Q368" i="13"/>
  <c r="Q369" i="13"/>
  <c r="Q370" i="13"/>
  <c r="Q371" i="13"/>
  <c r="Q372" i="13"/>
  <c r="Q373" i="13"/>
  <c r="Q374" i="13"/>
  <c r="Q375" i="13"/>
  <c r="Q376" i="13"/>
  <c r="Q377" i="13"/>
  <c r="Q378" i="13"/>
  <c r="Q379" i="13"/>
  <c r="Q380" i="13"/>
  <c r="Q381" i="13"/>
  <c r="Q382" i="13"/>
  <c r="Q383" i="13"/>
  <c r="Q384" i="13"/>
  <c r="Q385" i="13"/>
  <c r="Q386" i="13"/>
  <c r="Q387" i="13"/>
  <c r="Q388" i="13"/>
  <c r="Q389" i="13"/>
  <c r="Q390" i="13"/>
  <c r="Q391" i="13"/>
  <c r="Q392" i="13"/>
  <c r="Q393" i="13"/>
  <c r="Q394" i="13"/>
  <c r="Q395" i="13"/>
  <c r="Q396" i="13"/>
  <c r="Q397" i="13"/>
  <c r="Q398" i="13"/>
  <c r="Q399" i="13"/>
  <c r="Q400" i="13"/>
  <c r="Q401" i="13"/>
  <c r="Q402" i="13"/>
  <c r="Q403" i="13"/>
  <c r="Q404" i="13"/>
  <c r="Q405" i="13"/>
  <c r="Q406" i="13"/>
  <c r="Q407" i="13"/>
  <c r="Q408" i="13"/>
  <c r="Q409" i="13"/>
  <c r="Q410" i="13"/>
  <c r="Q411" i="13"/>
  <c r="Q412" i="13"/>
  <c r="Q413" i="13"/>
  <c r="Q414" i="13"/>
  <c r="Q415" i="13"/>
  <c r="Q416" i="13"/>
  <c r="Q417" i="13"/>
  <c r="Q418" i="13"/>
  <c r="Q419" i="13"/>
  <c r="Q420" i="13"/>
  <c r="Q421" i="13"/>
  <c r="Q422" i="13"/>
  <c r="Q423" i="13"/>
  <c r="Q424" i="13"/>
  <c r="Q425" i="13"/>
  <c r="Q426" i="13"/>
  <c r="Q427" i="13"/>
  <c r="Q428" i="13"/>
  <c r="Q429" i="13"/>
  <c r="Q430" i="13"/>
  <c r="Q431" i="13"/>
  <c r="Q432" i="13"/>
  <c r="Q433" i="13"/>
  <c r="Q434" i="13"/>
  <c r="Q435" i="13"/>
  <c r="Q436" i="13"/>
  <c r="Q437" i="13"/>
  <c r="Q438" i="13"/>
  <c r="Q439" i="13"/>
  <c r="Q440" i="13"/>
  <c r="Q441" i="13"/>
  <c r="Q442" i="13"/>
  <c r="Q443" i="13"/>
  <c r="Q444" i="13"/>
  <c r="Q445" i="13"/>
  <c r="Q446" i="13"/>
  <c r="Q447" i="13"/>
  <c r="Q448" i="13"/>
  <c r="Q449" i="13"/>
  <c r="Q450" i="13"/>
  <c r="Q451" i="13"/>
  <c r="Q452" i="13"/>
  <c r="Q453" i="13"/>
  <c r="Q454" i="13"/>
  <c r="Q455" i="13"/>
  <c r="Q456" i="13"/>
  <c r="Q457" i="13"/>
  <c r="Q458" i="13"/>
  <c r="Q459" i="13"/>
  <c r="Q460" i="13"/>
  <c r="Q461" i="13"/>
  <c r="Q462" i="13"/>
  <c r="Q463" i="13"/>
  <c r="Q464" i="13"/>
  <c r="Q465" i="13"/>
  <c r="Q466" i="13"/>
  <c r="Q467" i="13"/>
  <c r="Q468" i="13"/>
  <c r="Q469" i="13"/>
  <c r="Q470" i="13"/>
  <c r="Q471" i="13"/>
  <c r="Q472" i="13"/>
  <c r="Q473" i="13"/>
  <c r="Q474" i="13"/>
  <c r="Q475" i="13"/>
  <c r="Q476" i="13"/>
  <c r="Q477" i="13"/>
  <c r="Q3" i="13"/>
  <c r="Q4" i="13"/>
  <c r="Q5" i="13"/>
  <c r="Q6" i="13"/>
  <c r="Q7" i="13"/>
  <c r="Q8" i="13"/>
  <c r="Q9" i="13"/>
  <c r="Q10" i="13"/>
  <c r="Q11" i="13"/>
  <c r="Q12" i="13"/>
  <c r="Q13" i="13"/>
  <c r="Q14" i="13"/>
  <c r="Q15" i="13"/>
  <c r="Q16" i="13"/>
  <c r="Q17" i="13"/>
  <c r="Q2" i="13"/>
  <c r="S2" i="19" l="1"/>
  <c r="R2" i="19"/>
  <c r="Q2" i="19"/>
  <c r="L17" i="2"/>
  <c r="L16" i="2"/>
  <c r="K16" i="2"/>
  <c r="L15" i="2"/>
  <c r="K15" i="2"/>
  <c r="L14" i="2"/>
  <c r="K14" i="2"/>
  <c r="L13" i="2"/>
  <c r="K13" i="2"/>
  <c r="L12" i="2"/>
  <c r="K12" i="2"/>
  <c r="L11" i="2"/>
  <c r="K11" i="2"/>
  <c r="L10" i="2"/>
  <c r="K10" i="2"/>
  <c r="L9" i="2"/>
  <c r="K9" i="2"/>
  <c r="L8" i="2"/>
  <c r="K8" i="2"/>
  <c r="L7" i="2"/>
  <c r="K7" i="2"/>
  <c r="L6" i="2"/>
  <c r="K6" i="2"/>
  <c r="L5" i="2"/>
  <c r="K5" i="2"/>
  <c r="L4" i="2"/>
  <c r="K4" i="2"/>
  <c r="L3" i="2"/>
  <c r="K3" i="2"/>
  <c r="L2" i="2"/>
  <c r="K2" i="2"/>
</calcChain>
</file>

<file path=xl/connections.xml><?xml version="1.0" encoding="utf-8"?>
<connections xmlns="http://schemas.openxmlformats.org/spreadsheetml/2006/main">
  <connection id="1" keepAlive="1" name="10.150.114.40 maxco_awdb Call_Type" description="CF1" type="5" refreshedVersion="5" savePassword="1" background="1" saveData="1">
    <dbPr connection="Provider=SQLOLEDB.1;Password=vz1$Vzu;Persist Security Info=True;User ID=CCagle;Initial Catalog=maxco_awdb;Data Source=10.150.114.40;Use Procedure for Prepare=1;Auto Translate=True;Packet Size=4096;Workstation ID=TXAMM-61110W7;Use Encryption for Data=False;Tag with column collation when possible=False" command="--Update Variable_x000d__x000a_Declare @EntName as varchar(4) = 'IDBO'_x000d__x000a__x000d__x000a_--CF1_x0009_CONFIGURATION ACD Call Types_x000d__x000a_select 'CF1' as TestNo_x000d__x000a_,CallTypeID, EnterpriseName, CONVERT(varchar(11), DateTimeStamp, 101)DateAdded_x000d__x000a_from maxco_awdb.dbo.Call_Type _x000d__x000a_where left(EnterpriseName, 4) = @EntName_x000d__x000a_order by 2, 4"/>
  </connection>
  <connection id="2" keepAlive="1" name="10.150.114.40 maxco_awdb Call_Type11" description="PP4" type="5" refreshedVersion="5" savePassword="1" background="1" saveData="1">
    <dbPr connection="Provider=SQLOLEDB.1;Password=vz1$Vzu;Persist Security Info=True;User ID=CCagle;Initial Catalog=maxco_awdb;Data Source=10.150.114.40;Use Procedure for Prepare=1;Auto Translate=True;Packet Size=4096;Workstation ID=TXAMM-61110W7;Use Encryption for Data=False;Tag with column collation when possible=False" command="--PP4_x0009_PROD PLANNING ACD Extract Logic_x0009__x000d__x000a_select 'PP4' as TestNo_x000d__x000a_,CONVERT(varchar(11), i.DateTime, 101) as Date, t.CallTypeID, t.EnterpriseName_x000d__x000a_,sum(i.CallsOffered) as Offered, sum(i.CallsHandled) as Handle, _x000d__x000a_sum(i.CallsOffered) - sum(i.CallsHandled) as CalcAband, sum(i.TotalCallsAband) TotAband _x000d__x000a_from maxco_awdb.dbo.Call_Type_Interval i _x000d__x000a_join _x000d__x000a_maxco_awdb.dbo.Call_Type t _x000d__x000a_on t.CallTypeID = i.CallTypeID _x000d__x000a_where convert(date, [DateTime]) between '2015-01-13' and convert(date, getdate())_x000d__x000a_and i.CallTypeID in (6031,6033,6034,6039,6040)_x000d__x000a_group by  CONVERT(varchar(11), i.DateTime, 101), t.CallTypeID, t.EnterpriseName _x000d__x000a_order by 3,2"/>
  </connection>
  <connection id="3" keepAlive="1" name="10.150.114.40 maxco_awdb Call_Type22" description="PP7 - PP15" type="5" refreshedVersion="5" savePassword="1" background="1" saveData="1">
    <dbPr connection="Provider=SQLOLEDB.1;Password=vz1$Vzu;Persist Security Info=True;User ID=CCagle;Initial Catalog=maxco_awdb;Data Source=10.150.114.40;Use Procedure for Prepare=1;Auto Translate=True;Packet Size=4096;Workstation ID=TXAMM-61110W7;Use Encryption for Data=False;Tag with column collation when possible=False" command="--PP7 - PP15 Consolidated_x000d__x000a_select 'PP7 - PP15' as TestNo_x000d__x000a_,Convert(char,CAST(SWITCHOFFSET(TODATETIMEOFFSET(i.DateTime, -360), '-04:00') as datetime),101) as [Date]_x000d__x000a_,CAST(SWITCHOFFSET(TODATETIMEOFFSET(i.DateTime, -360), '-04:00') as datetime) [DateTime]_x000d__x000a_,t.CallTypeID_x000d__x000a_,t.EnterpriseName_x000d__x000a_,i.HandleTime_x000d__x000a_,i.CallsHandled_x000d__x000a_,case when i.CallsHandled = 0 then 0 else round((cast(i.HandleTime as float)/ cast(i.CallsHandled as float)),2) end as AHT_x000d__x000a_--PP8_x000d__x000a_,i.AnswerWaitTime_x000d__x000a_,i.CallsAnswered_x000d__x000a_,case when i.CallsAnswered = 0 then 0 else round((cast(i.AnswerWaitTime as float)/ cast(i.CallsAnswered as float)),2) end as ASA_x000d__x000a_--,i.RouterQueueWaitTime_x000d__x000a_--PP9 (Redundant)_x000d__x000a_--,i.AnswerWaitTime_x000d__x000a_--PP10_x000d__x000a_,i.CallDelayAbandTime_x000d__x000a_--PP11_x000d__x000a_,i.TalkTime_x000d__x000a_--PP12_x000d__x000a_,i.HandleTime - i.HoldTime - i.TalkTime as Calc_Wrap_x000d__x000a_--PP13_x000d__x000a_,i.HoldTime_x000d__x000a_--PP14_x000d__x000a_,i.AbandInterval1_x000d__x000a_--PP15_x000d__x000a_,ICRDefaultRouted + NetworkDefaultRouted + ReturnBusy + ReturnRing + CallsRONA_x000d__x000a_+ ReturnRelease + CallsRoutedNonAgent + ErrorCount + AgentErrorCount + OverflowOut + IncompleteCalls  as SysOut_x000d__x000a__x000d__x000a_from maxco_awdb.dbo.Call_Type_Interval i _x000d__x000a_join maxco_awdb.dbo.Call_Type t _x000d__x000a_on t.CallTypeID = i.CallTypeID _x000d__x000a_where convert(date, [DateTime]) between '2015-01-13' and convert(date, getdate())_x000d__x000a_and t.CallTypeID in (6031,6033,6034,6039,6040)_x000d__x000a_Order by 4,3"/>
  </connection>
</connections>
</file>

<file path=xl/sharedStrings.xml><?xml version="1.0" encoding="utf-8"?>
<sst xmlns="http://schemas.openxmlformats.org/spreadsheetml/2006/main" count="5256" uniqueCount="769">
  <si>
    <t>TestNo</t>
  </si>
  <si>
    <t>CallTypeID</t>
  </si>
  <si>
    <t>EnterpriseName</t>
  </si>
  <si>
    <t>DateAdded</t>
  </si>
  <si>
    <t>CF1</t>
  </si>
  <si>
    <t>Date</t>
  </si>
  <si>
    <t>Offered</t>
  </si>
  <si>
    <t>Handle</t>
  </si>
  <si>
    <t>CalcAband</t>
  </si>
  <si>
    <t>TotAband</t>
  </si>
  <si>
    <t>PP4</t>
  </si>
  <si>
    <t>DateTime</t>
  </si>
  <si>
    <t>HandleTime</t>
  </si>
  <si>
    <t>CallsHandled</t>
  </si>
  <si>
    <t>AHT</t>
  </si>
  <si>
    <t>AnswerWaitTime</t>
  </si>
  <si>
    <t>CallsAnswered</t>
  </si>
  <si>
    <t>ASA</t>
  </si>
  <si>
    <t>CallDelayAbandTime</t>
  </si>
  <si>
    <t>TalkTime</t>
  </si>
  <si>
    <t>Calc_Wrap</t>
  </si>
  <si>
    <t>HoldTime</t>
  </si>
  <si>
    <t>AbandInterval1</t>
  </si>
  <si>
    <t>SysOut</t>
  </si>
  <si>
    <t>PP7 - PP15</t>
  </si>
  <si>
    <t>Validation Test Type</t>
  </si>
  <si>
    <t>Test Scenario</t>
  </si>
  <si>
    <t>Expected Result</t>
  </si>
  <si>
    <t>Notes</t>
  </si>
  <si>
    <t>Test Comments</t>
  </si>
  <si>
    <t>CONFIGURATION TESTS</t>
  </si>
  <si>
    <t>CONFIGURATION
ACD Call Types</t>
  </si>
  <si>
    <t>All Cisco call types will be identified in MAXDAT and either configured or confirmed to exclude</t>
  </si>
  <si>
    <t>Cisco call types are properly configured or listed in MAXDAT to exclude call types -- ETL query return same number of rows as Control and all entries have a filter for include or exclude</t>
  </si>
  <si>
    <t>NA</t>
  </si>
  <si>
    <t>CF4</t>
  </si>
  <si>
    <t>CONFIGURATION
Units of Work</t>
  </si>
  <si>
    <t>Confirm UOW configured for all queues</t>
  </si>
  <si>
    <t>CF5</t>
  </si>
  <si>
    <t>CONFIGURATION ACD Skill Groups</t>
  </si>
  <si>
    <t>Confirm all skill groups configured by the project are included in the skill group filter</t>
  </si>
  <si>
    <t>all skill groups included in the config doc for inclusion will have an include filter entry in maxdat filter table</t>
  </si>
  <si>
    <t>PRODUCTION PLANNING MODULE TESTS</t>
  </si>
  <si>
    <t>PP1</t>
  </si>
  <si>
    <t>PROD PLANNING
ACD Queues</t>
  </si>
  <si>
    <t>All interval ACD data must have a valid queue assignment in stage</t>
  </si>
  <si>
    <t>Every ACD interval record is associated with a valid queue. For "call type" of inbound calls this must not be '0'</t>
  </si>
  <si>
    <t>PP2</t>
  </si>
  <si>
    <t>All interval ACD data must have a valid queue assignment in actuals fact</t>
  </si>
  <si>
    <t>PP3</t>
  </si>
  <si>
    <t>All interval ACD data must have a valid queue assignment in acd fact</t>
  </si>
  <si>
    <t>PROD PLANNING
ACD Extract Logic</t>
  </si>
  <si>
    <t>Staged Calls Offered by Queue  Matches Source System Calls Offered, Handled, and Abandoned by Queue</t>
  </si>
  <si>
    <t>Daily calls offered, handled and abandoned  by queue in staged data matches source system</t>
  </si>
  <si>
    <t>PP5</t>
  </si>
  <si>
    <t>Calls offered to agents results in either a handled call, an abandoned call, or a sysout call (note Cisco implementations will not match across intervals - only at the day level)</t>
  </si>
  <si>
    <t>Within or across any interval of ACD data CONTACTS_OFFERED  must equal CONTACTS_HANDLED + CONTACTS_ABANDONED
Error Rate must be less than .25%</t>
  </si>
  <si>
    <t>control is error rate detail</t>
  </si>
  <si>
    <t>PP7</t>
  </si>
  <si>
    <t>Maxdat Avg Handle Time calculation matches Cisco</t>
  </si>
  <si>
    <t>Calculated AHT in Cisco interval will match the staged value in MAXDAT</t>
  </si>
  <si>
    <t>PP8</t>
  </si>
  <si>
    <t>Maxdat Average Speed of Answer calcultion matches Cisco</t>
  </si>
  <si>
    <t>Calculated ASA in Cisco interval will match the staged value in MAXDAT</t>
  </si>
  <si>
    <t>PP9</t>
  </si>
  <si>
    <t>Maxdat  Answer wait time total calculation matches Cisco</t>
  </si>
  <si>
    <t>Cisco answer wait time matches staged answer wait time for each interval</t>
  </si>
  <si>
    <t>PP10</t>
  </si>
  <si>
    <t>Maxdat   Abandon time total calculation matches Cisco</t>
  </si>
  <si>
    <t>Cisco abandon time total matches staged abandon time total for each interval</t>
  </si>
  <si>
    <t>PP11</t>
  </si>
  <si>
    <t>Maxdat  Talk Time calculation matches Cisco</t>
  </si>
  <si>
    <t>Cisco talk time total matches staged  talk time total for each interval</t>
  </si>
  <si>
    <t>PP12</t>
  </si>
  <si>
    <t>Maxdat Wrap Time  calculation matches Cisco</t>
  </si>
  <si>
    <t>Cisco wrap time calculation matches staged wrap time total for each interval</t>
  </si>
  <si>
    <t>PP13</t>
  </si>
  <si>
    <t>Maxdat  Hold Time  calculation matches Cisco</t>
  </si>
  <si>
    <t>Cisco hold time total matches staged  hold time total for each interval</t>
  </si>
  <si>
    <t>PP14</t>
  </si>
  <si>
    <t>Maxdat  Short Abandons  calculation matches Cisco (note short_abandons =short_calls in mapping from cisco)</t>
  </si>
  <si>
    <t>Cisco short abandons matches Cisco</t>
  </si>
  <si>
    <t>PP15</t>
  </si>
  <si>
    <t>Maxdat  Sysout  calculation matches Cisco</t>
  </si>
  <si>
    <t>The sum of sysout components in MAXDAT matches Cisco</t>
  </si>
  <si>
    <t>PP16</t>
  </si>
  <si>
    <t>PROD PLANNING
ACD Interval</t>
  </si>
  <si>
    <t>The sum of the number of calls in each speed of answer "time period bucket" must equal the total calls handled</t>
  </si>
  <si>
    <t>Within or across any ACD interval the sum of speed of answer periods must equal the contacts handled
Error Rate must be less than .50%</t>
  </si>
  <si>
    <t>PP17</t>
  </si>
  <si>
    <t>Calls answered outside the service level must be aligned with the appropriate speed of answer time bucket</t>
  </si>
  <si>
    <t>Within or across any ACD interval the service_level_answered_count should be accounted for in all speed of answer intervals 
   -- when service level answered count &lt;&gt; sum of all speed of answer intervals (indicates that all intervals will contain calls
   -- answered within service level
   -- and when service level answered count &lt;&gt; sum of speed of answer intervals 1-6 (typical for most queues)</t>
  </si>
  <si>
    <t>PP18</t>
  </si>
  <si>
    <t>The sum of the number of calls in each abandoned "time period bucket" must equal the total calls abandoned</t>
  </si>
  <si>
    <t>Within or across any ACD interval the sum of calls_abandoned_period…fields equals the contacts abandoned
Error Rate must be less than .25%</t>
  </si>
  <si>
    <t>PP19</t>
  </si>
  <si>
    <t>Sevice level answered count must be less than or equal to the contacts handled</t>
  </si>
  <si>
    <t>Within or across any ACD interval the service_level_answered_count must be less than or equal to the contacts handled
Error rate must be less than 1%</t>
  </si>
  <si>
    <t>PP21</t>
  </si>
  <si>
    <t>In CC_S_ACD_INTERVALs,  when calls handled &gt; 0  “min” and "max" data elements  must always be greater than 0</t>
  </si>
  <si>
    <t>The following conditions must not occur 
• When calls handled &gt; 0 the min handle time is 0 however it should be the shortest handle time of the handled calls. 
• When calls handled &gt; 0, the min speed of answer is 0 however it should be the shortest speed to answer for the handled calls.
• When calls handled &gt;0, the min speed to handle time is 0. However is should be the shortest handle time for the handled calls.</t>
  </si>
  <si>
    <t>need to confirm that this will be populated in the call type interval extract form (I don’t believe it will be)</t>
  </si>
  <si>
    <t>Test Number</t>
  </si>
  <si>
    <r>
      <t xml:space="preserve">ETL Query
</t>
    </r>
    <r>
      <rPr>
        <sz val="9"/>
        <color theme="1"/>
        <rFont val="Calibri"/>
        <family val="2"/>
        <scheme val="minor"/>
      </rPr>
      <t>This query should identify data in the MAXDat table that is expected to meet conditions of the rule and match data in the control.</t>
    </r>
  </si>
  <si>
    <r>
      <t xml:space="preserve">Control Query
</t>
    </r>
    <r>
      <rPr>
        <sz val="9"/>
        <color theme="1"/>
        <rFont val="Calibri"/>
        <family val="2"/>
        <scheme val="minor"/>
      </rPr>
      <t>This query may be run against the data source, another process, or another validated control source available.</t>
    </r>
  </si>
  <si>
    <r>
      <t xml:space="preserve">Level of Impact
</t>
    </r>
    <r>
      <rPr>
        <sz val="9"/>
        <color theme="1"/>
        <rFont val="Calibri"/>
        <family val="2"/>
        <scheme val="minor"/>
      </rPr>
      <t>None
Very Low
Low
Medium
High
Very High</t>
    </r>
  </si>
  <si>
    <r>
      <t>Impact until fixed</t>
    </r>
    <r>
      <rPr>
        <sz val="9"/>
        <color theme="1"/>
        <rFont val="Calibri"/>
        <family val="2"/>
        <scheme val="minor"/>
      </rPr>
      <t xml:space="preserve">
Describe impact to project. This must be filled in for any Fail results in UAT or Production</t>
    </r>
  </si>
  <si>
    <r>
      <t xml:space="preserve">Fix Before Release?
</t>
    </r>
    <r>
      <rPr>
        <sz val="9"/>
        <color theme="1"/>
        <rFont val="Calibri"/>
        <family val="2"/>
        <scheme val="minor"/>
      </rPr>
      <t>Enter Yes or No. Release can not be approved until all values are No</t>
    </r>
  </si>
  <si>
    <t>Production Test Result
Enter PASS or FAIL. There is no such thing as a partial fail on any test, a partial fail is FAIL</t>
  </si>
  <si>
    <t>ACD_CALL_TYPE_ID_INC</t>
  </si>
  <si>
    <t>Queue Number</t>
  </si>
  <si>
    <t>Queue Name</t>
  </si>
  <si>
    <t>Filter Type</t>
  </si>
  <si>
    <t>Value</t>
  </si>
  <si>
    <t>IntervalDate</t>
  </si>
  <si>
    <t>QueueNo</t>
  </si>
  <si>
    <t>QueueName</t>
  </si>
  <si>
    <t>Abandon</t>
  </si>
  <si>
    <t>PP 4 etl</t>
  </si>
  <si>
    <t>Handle_Abandon</t>
  </si>
  <si>
    <t>Sysout</t>
  </si>
  <si>
    <t>Diff</t>
  </si>
  <si>
    <t>Error_Rate_Day</t>
  </si>
  <si>
    <t>QueueNumber</t>
  </si>
  <si>
    <t>PP5_detail</t>
  </si>
  <si>
    <t>Report Number</t>
  </si>
  <si>
    <t>Report Execution Parameters</t>
  </si>
  <si>
    <t>Validation Test</t>
  </si>
  <si>
    <t>UAT Last Test Date</t>
  </si>
  <si>
    <r>
      <t xml:space="preserve">UAT Test Result
</t>
    </r>
    <r>
      <rPr>
        <sz val="9"/>
        <color theme="1"/>
        <rFont val="Calibri"/>
        <family val="2"/>
        <scheme val="minor"/>
      </rPr>
      <t>Enter PASS or FAIL. There is no such thing as a partial fail on any test, a partial fail is FAIL</t>
    </r>
  </si>
  <si>
    <t>Production Last Test Date</t>
  </si>
  <si>
    <r>
      <t xml:space="preserve">Production Test Result
</t>
    </r>
    <r>
      <rPr>
        <sz val="9"/>
        <color theme="1"/>
        <rFont val="Calibri"/>
        <family val="2"/>
        <scheme val="minor"/>
      </rPr>
      <t>Enter PASS or FAIL. There is no such thing as a partial fail on any test, a partial fail is FAIL</t>
    </r>
  </si>
  <si>
    <t>Agent Efficiency Reports</t>
  </si>
  <si>
    <t>1.0 Utilization and Occupancy Summary Dashboard</t>
  </si>
  <si>
    <t>Select Program, Year and Month from the drop down on the dashboard; execute the test script using the same month (start and end date for the month) and program</t>
  </si>
  <si>
    <t>Occupancy %-Month to Date</t>
  </si>
  <si>
    <t>select trunc(d.d_date,'MM'),s.site_name, j.project_name, p.program_name
      ,case when sum(f.talk_seconds+f.hold_seconds+f.wrap_seconds+f.idle_seconds) = 0 then 0 else 
       round(((sum(f.talk_seconds+f.hold_seconds+f.wrap_seconds)) / sum(f.talk_seconds+f.hold_seconds+f.wrap_seconds+f.idle_seconds))*100,2) end as "Occupancy (%)"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trunc(d.d_date,'MM'),j.project_name, p.program_name,s.site_name
order by site_name, project_name, program_name;</t>
  </si>
  <si>
    <t>Occupancy %-Month by Date</t>
  </si>
  <si>
    <t>select trunc(d.d_date),s.site_name, j.project_name, p.program_name
      ,case when sum(f.talk_seconds+f.hold_seconds+f.wrap_seconds+f.idle_seconds) = 0 then 0 else 
       round(((sum(f.talk_seconds+f.hold_seconds+f.wrap_seconds)) / sum(f.talk_seconds+f.hold_seconds+f.wrap_seconds+f.idle_seconds))*100,2) end as "Occupancy (%)"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trunc(d.d_date),j.project_name, p.program_name,s.site_name
order by s.site_name,trunc(d.d_date), j.project_name, p.program_name;</t>
  </si>
  <si>
    <t>Total Ready % vs. Total Not Ready %</t>
  </si>
  <si>
    <t>with  t1 as (
select trunc(d.d_date,'MM') as d_date, s.site_name, j.project_name, p.program_name
      ,round(sum(f.login_seconds),2) as login_time
      ,round(sum(f.talk_seconds+f.hold_seconds+f.wrap_seconds+f.external_seconds+f.internal_seconds+f.preview_talk_seconds+
                 f.predictive_talk_seconds+f.talk_reserve_seconds+f.ring_seconds+f.idle_seconds),2) as "Total Ready 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trunc(d.d_date,'MM'),j.project_name, p.program_name,s.site_name ),
t2 as (
select trunc(d.d_date,'MM') as d_date,s.site_name, j.project_name, p.program_name
      ,round(sum(case when ac.activity_type_category in ('Lunch and Break', 'Meeting', 'Training','Other Not Ready') then f2.activity_minutes else 0 end),2) as "Total Not Ready 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group by trunc(d.d_date,'MM'),j.project_name, p.program_name,s.site_name
order by trunc(d.d_date,'MM'))
select t1.d_date,t1.site_name, t1.project_name, t1.program_name
      ,round((t1."Total Ready Time" / t1.login_time)*100,2) as "Total Ready (%)"
      ,round(((t2."Total Not Ready Time"*60) / t1.login_time) *100,2) as "Total Not Ready (%)"
from t1, t2
where t1.d_date = t2.d_date
and   t1.project_name = t2.project_name
and   t1.program_name = t2.program_name
and   t1.site_name = t2.site_name
order by t1.site_name, t1.project_name, t1.program_name, t1.d_date;</t>
  </si>
  <si>
    <t>Total Utilization - Month to Date</t>
  </si>
  <si>
    <t>with  t1 as (
select trunc(d.d_date,'MM') as d_date, s.site_name, j.project_name, p.program_name
      ,round(sum(f.talk_seconds+f.hold_seconds+f.wrap_seconds+f.idle_seconds),2) as util_time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trunc(d.d_date,'MM'),j.project_name, p.program_name,s.site_name ),
t2 as (
select trunc(d.d_date,'MM') as d_date,s.site_name, j.project_name, p.program_name
      ,round(sum(case when ac.is_paid_flag = 1 then f2.activity_minutes else 0 end)*60,2) as total_pd_time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group by trunc(d.d_date,'MM'),j.project_name, p.program_name,s.site_name
order by trunc(d.d_date,'MM'))
select t1.d_date,t1.site_name, t1.project_name, t1.program_name
      ,round((t1.util_time / t2.total_pd_time)*100,2) as "Total Utilization (%)"
from t1, t2
where t1.d_date = t2.d_date
and   t1.project_name = t2.project_name
and   t1.program_name = t2.program_name
and   t1.site_name = t2.site_name
order by t1.d_date;</t>
  </si>
  <si>
    <t>Total Utilization - Month by Date</t>
  </si>
  <si>
    <t>with  t1 as (
select d.d_date,s.site_name,j.project_name, p.program_name
      ,case when sum(f.talk_seconds+f.hold_seconds+f.wrap_seconds+f.idle_seconds) = 0 then 0 else 
      round(sum(f.talk_seconds+f.hold_seconds+f.wrap_seconds+f.idle_seconds),2) end as util_time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d.d_date,j.project_name, p.program_name,s.site_name ),
t2 as (
select d.d_date,s.site_name, j.project_name, p.program_name
      ,round(sum(case when ac.is_paid_flag = 1 then f2.activity_minutes else 0 end)*60,2) as total_pd_time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group by d.d_date,j.project_name, p.program_name,s.site_name
order by d.d_date)
select t1.d_date,t1.site_name, t1.project_name, t1.program_name
      ,case when  t2.total_pd_time = 0 then 0 else round((t1.util_time / t2.total_pd_time)*100,0) end as "Total Utilization (%)"
from t1, t2
where t1.d_date = t2.d_date
and   t1.project_name = t2.project_name
and   t1.program_name = t2.program_name
and   t1.site_name = t2.site_name
order by t1.site_name, t1.project_name, t1.program_name, t1.d_date;</t>
  </si>
  <si>
    <t>Total Ready % by Category - Month to Date</t>
  </si>
  <si>
    <t>select d_month, site_name, project_name, program_name
      ,round((talk/ready_sub)*100,2) as "Talk Time %"
      ,round((idlet/ready_sub)*100,2) as "Idle Time %"
      ,round((hold/ready_sub)*100,2) as "Hold Time %"
      ,round((wrap/ready_sub)*100,2) as "Wrap Time %"
      ,round((other/ready_sub)*100,2) as "Other Talk Time"
      ,round((extern/ready_sub)*100,2) as "External Talk Time %"      
      ,round((ring/ready_sub)*100,2) as "Ring Time %"
      ,round((intern/ready_sub)*100,2) as "Internal Talk Time %"
from  (
select trunc(d.d_date,'MM') as d_month,s.site_name, j.project_name, p.program_name
      ,(sum(f.talk_seconds)) as  talk ,(sum(f.hold_seconds)) as  hold
      ,(sum(f.wrap_seconds)) as wrap  ,(sum(f.external_seconds)) as extern
      ,(sum(f.internal_seconds)) as intern ,(sum(f.preview_talk_seconds+f.predictive_talk_seconds+f.talk_reserve_seconds)) as other
      ,(sum(f.ring_seconds)) as ring  ,(sum(f.idle_seconds)) as idlet
      ,(sum(f.talk_seconds+f.hold_seconds+f.wrap_seconds+f.external_seconds+f.internal_seconds+f.ring_seconds+f.idle_seconds+f.preview_talk_seconds+f.predictive_talk_seconds+f.talk_reserve_seconds)) as ready_sub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trunc(d.d_date,'MM'),j.project_name, p.program_name,s.site_name
order by trunc(d.d_date,'MM'));</t>
  </si>
  <si>
    <t>Labor Time Per Call - Month to Date</t>
  </si>
  <si>
    <t>with  t1 as (
select trunc(d.d_date,'MM') as d_date,s.site_name, j.project_name, p.program_name
      ,sum(f.handle_calls_count) as handled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trunc(d.d_date,'MM'),j.project_name, p.program_name, s.site_name ),
t2 as (
select trunc(d.d_date,'MM') as d_date,s.site_name,j.project_name, p.program_name
      ,round(sum(case when ac.is_paid_flag = 1 then f2.activity_minutes else 0 end)*60,2) as total_pd_time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group by trunc(d.d_date,'MM'),j.project_name, p.program_name,s.site_name
order by d_date)
select t1.d_date,t1.site_name, t1.project_name, t1.program_name
      ,to_char(to_date(round((t2.total_pd_time / t1.handled),0),'sssss'),'hh24:mi:ss') as "Labor Time per Call"
from t1, t2
where t1.d_date = t2.d_date
and   t1.project_name = t2.project_name
and   t1.program_name = t2.program_name
and   t1.site_name = t2.site_name
order by t1.d_date;</t>
  </si>
  <si>
    <t>Labor Time Per Call - Month by Date</t>
  </si>
  <si>
    <t>with  t1 as (
select d.d_date,s.site_name, j.project_name, p.program_name
      ,sum(f.handle_calls_count) as handled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d.d_date,j.project_name, p.program_name,s.site_name ),
t2 as (
select d_date,s.site_name,j.project_name, p.program_name
      ,round(sum(case when ac.is_paid_flag = 1 then f2.activity_minutes else 0 end)*60,2) as total_pd_time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group by d_date,j.project_name, p.program_name,s.site_name
order by d_date)
select t1.d_date,t1.site_name, t1.project_name, t1.program_name
      ,to_char(to_date(round((t2.total_pd_time / t1.handled),0),'sssss'),'hh24:mi:ss') as "Labor Time per Call"
from t1, t2
where t1.d_date = t2.d_date
and   t1.project_name = t2.project_name
and   t1.program_name = t2.program_name
and   t1.site_name = t2.site_name
order by t1.site_name, t1.project_name, t1.program_name, t1.d_date;</t>
  </si>
  <si>
    <t>Total Not Ready % by Category</t>
  </si>
  <si>
    <t>select d_month, site_name, project_name, program_name
       ,round((other/notrdy)*100,2) as "Other Time %"
       ,round((lunch/notrdy)*100,2) as "Lunch and Break Time %"
       ,round((meeting/notrdy)*100,2) as "Meeting Time %"
       ,round((train/notrdy)*100,2) as "Training Time %"
       ,round((unknown/notrdy)*100,2) as "Unknown Time %"
from (
select trunc(d_date,'MM') as d_month,s.site_name, j.project_name, p.program_name
      ,round(sum(case when ac.activity_type_category = 'Training' then f2.activity_minutes else 0 end)/60,2) as train
      ,round(sum(case when ac.activity_type_category = 'Meeting' then f2.activity_minutes else 0 end)/60,2) as meeting
      ,round(sum(case when ac.activity_type_category = 'Lunch and Break' then f2.activity_minutes else 0 end)/60,2) as lunch          
      ,round(sum(case when ac.activity_type_category = 'Other Not Ready' then f2.activity_minutes else 0 end)/60,2) as other
      ,round(sum(case when ac.activity_type_category = 'Unknown' then f2.activity_minutes else 0 end)/60,2) as unknown
      ,round(sum(f2.activity_minutes)/60,2) as notrdy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and   ac.activity_type_category in ('Lunch and Break','Meeting','Training','Other Not Ready','Unknown')
group by trunc(d_date,'MM'),j.project_name, p.program_name,s.site_name);</t>
  </si>
  <si>
    <t>Monthly Scheduled Agent Time vs. Actual Agent Time</t>
  </si>
  <si>
    <t>select trunc(d.d_date,'MM') as d_month,s.site_name, j.project_name, p.program_name
      ,round(coalesce(sum(f.scheduled_shift_minutes)/60,0),0) as "Scheduled Agent Time" 
      ,round(coalesce(sum(f.actual_shift_minutes)/60,0),0) as "Actual Agent Time"
      ,round(coalesce(sum(f.scheduled_shift_minutes)/60,0) - coalesce(sum(f.actual_shift_minutes)/60,0),0) as "Variance"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group by trunc(d.d_date,'MM'),j.project_name, p.program_name, s.site_name;</t>
  </si>
  <si>
    <t>Logged in Time Error % - Month to Date</t>
  </si>
  <si>
    <t xml:space="preserve">with  t1 as (
select trunc(d.d_date,'MM') as d_date,s.site_name, j.project_name, p.program_name
      ,round(sum(f.login_seconds)/60,2) as login_time
      ,round((sum(f.talk_seconds+f.hold_seconds+f.wrap_seconds+f.external_seconds+f.internal_seconds+f.preview_talk_seconds+
                 f.predictive_talk_seconds+f.talk_reserve_seconds+f.ring_seconds+f.idle_seconds)/60),2) as ready_time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p.program_name = &amp;program_name
group by trunc(d.d_date,'MM'),j.project_name, p.program_name,s.site_name ),
t2 as (
select trunc(d.d_date,'MM') as d_date,s.site_name, j.project_name, p.program_name
      ,round(sum(case when ac.activity_type_category in ('Lunch and Break', 'Meeting', 'Training','Other Not Ready') then f2.activity_minutes else 0 end),2) as not_rdy_time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and   p.program_name = &amp;program_name
group by trunc(d.d_date,'MM'), j.project_name, p.program_name,s.site_name
order by trunc(d.d_date,'MM'))
select t1.d_date, t1.site_name, t1.project_name as "Project", t1.program_name as "Program" 
   --    ,t1.login_time , t1.ready_time, t2.not_rdy_time
   --    ,round((t1.login_time - t1.ready_time - t2.not_rdy_time),2) as "Logged in Time Error"      
       ,round((((t1.login_time - t1.ready_time - t2.not_rdy_time) / t1.login_time)*100),2) as "Logged in Time Error %"
from t1, t2
where t1.d_date = t2.d_date
and   t1.project_name = t2.project_name
and   t1.program_name = t2.program_name
and   t1.site_name = t2.site_name
order by t1.d_date;
</t>
  </si>
  <si>
    <t>Validation Test - Test for agents logged into ACD but not logged into WFM</t>
  </si>
  <si>
    <t>Agent will have agent by date fact but will not have agent activity by date fact</t>
  </si>
  <si>
    <t>select d.d_date
      ,round(sum(f.talk_seconds+f.hold_seconds+f.wrap_seconds+f.idle_seconds),2) as util_time
      ,count (distinct a.d_agent_id)as cnt_agent, p.program_name
from  cc_f_agent_by_date f
inner join cc_d_dates d on f.d_date_id = d.d_date_id
inner join cc_d_agent a on f.d_agent_id = a.d_agent_id
inner join cc_d_program p on f.d_program_id = p.program_id
where d_date between &amp;start_date and &amp;end_date
and not exists (select 1 from  cc_f_agent_activity_by_date f2
                where f2.d_date_id = d.d_date_id
                and   f2.d_agent_id = a.d_agent_id)
group by d.d_date, p.program_name
order by p.program_name, d.d_date;</t>
  </si>
  <si>
    <t>Validation Test - Test for agent time logged to UNKNOWN activity type category</t>
  </si>
  <si>
    <t>Agent will have agent activity by date fact associated to an activity with activity type category = Unknown (all unknown activity type categories need to be properly configured)</t>
  </si>
  <si>
    <t>agent details</t>
  </si>
  <si>
    <t>select trunc(d_date,'MM') as d_month,s.site_name, j.project_name, p.program_name, ac.activity_type_name, ac.is_paid_flag, sum(f2.activity_minutes)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and   ac.activity_type_category = 'Unknown'
group by trunc(d_date,'MM') ,s.site_name, j.project_name, p.program_name, ac.activity_type_name, ac.is_paid_flag
order by d_month,s.site_name, j.project_name, p.program_name, ac.activity_type_name, ac.is_paid_flag;</t>
  </si>
  <si>
    <t>sum of time by day and category name</t>
  </si>
  <si>
    <t xml:space="preserve">select d.d_date, ac.activity_type_name, ac.activity_type_category, sum(f.activity_minutes)
from   cc_f_agent_activity_by_date f
inner join cc_d_activity_type ac on f.d_activity_type_id = ac.d_activity_type_id
inner join cc_d_dates d on f.d_date_id = d.d_date_id
where ac.activity_type_category = 'Unknown'
group by d.d_date, ac.activity_type_name, ac.activity_type_category
order by d.d_date, ac.activity_type_name, ac.activity_type_category;
</t>
  </si>
  <si>
    <t>1.1 Utilization and Occupancy Summary Report</t>
  </si>
  <si>
    <r>
      <t xml:space="preserve">Select Year, Month, Week of Month, Project and Program in the report; execute SQL for the </t>
    </r>
    <r>
      <rPr>
        <b/>
        <i/>
        <sz val="9"/>
        <color theme="1"/>
        <rFont val="Calibri"/>
        <family val="2"/>
        <scheme val="minor"/>
      </rPr>
      <t>program</t>
    </r>
    <r>
      <rPr>
        <sz val="9"/>
        <color theme="1"/>
        <rFont val="Calibri"/>
        <family val="2"/>
        <scheme val="minor"/>
      </rPr>
      <t xml:space="preserve"> and </t>
    </r>
    <r>
      <rPr>
        <b/>
        <i/>
        <sz val="9"/>
        <color theme="1"/>
        <rFont val="Calibri"/>
        <family val="2"/>
        <scheme val="minor"/>
      </rPr>
      <t>date range</t>
    </r>
    <r>
      <rPr>
        <sz val="9"/>
        <color theme="1"/>
        <rFont val="Calibri"/>
        <family val="2"/>
        <scheme val="minor"/>
      </rPr>
      <t xml:space="preserve"> used in the report</t>
    </r>
  </si>
  <si>
    <r>
      <rPr>
        <b/>
        <i/>
        <sz val="9"/>
        <color theme="1"/>
        <rFont val="Calibri"/>
        <family val="2"/>
        <scheme val="minor"/>
      </rPr>
      <t>Scheduled Agent Time through Logged in Time Error %'</t>
    </r>
    <r>
      <rPr>
        <sz val="9"/>
        <color theme="1"/>
        <rFont val="Calibri"/>
        <family val="2"/>
        <scheme val="minor"/>
      </rPr>
      <t xml:space="preserve"> -- Results of the SQL will match the report </t>
    </r>
  </si>
  <si>
    <t xml:space="preserve">with  t1 as (
select d.d_date, j.project_name, p.program_name
      ,round(coalesce(sum(f.scheduled_shift_minutes)/60,0),0) as "Sched Agent Time" 
      ,round(coalesce(sum(f.actual_shift_minutes)/60,0),0) as "Act Agent Time"
      ,round(sum(f.login_seconds)/60/60,2) as "Total Logged in Time"
      ,round(sum(f.talk_seconds+f.hold_seconds+f.wrap_seconds+f.external_seconds+f.internal_seconds+f.preview_talk_seconds+
                 f.predictive_talk_seconds+f.talk_reserve_seconds+f.ring_seconds+f.idle_seconds)/60/60,2) as "Total Ready 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p.program_name = &amp;program_name
group by d.d_date,j.project_name, p.program_name),
t2 as (
select d_date,j.project_name, p.program_name
      ,round(sum(case when ac.activity_type_category in ('Scheduled PTO') then f2.activity_minutes else 0 end)/60,0) as "Sched PTO" 
      ,round(sum(case when ac.activity_type_category in ('Unscheduled PTO') then f2.activity_minutes else 0 end)/60,0) as "Unsched PTO" 
      ,round(sum(case when ac.activity_type_category in ('Lunch and Break', 'Meeting', 'Training','Other Not Ready') then f2.activity_minutes else 0 end)/60,2) as "Total Not Ready 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where d_date between &amp;start_date and &amp;end_date
and   p.program_name = &amp;program_name
group by d_date, j.project_name, p.program_name
order by d_date)
select t1.d_date,  t1.project_name as "Project", t1.program_name as "Program" 
       ,t1."Sched Agent Time", t1."Act Agent Time", t2."Sched PTO", t2."Unsched PTO"
       ,round(t1."Total Logged in Time",0) as "Total Logged in Time"
       ,round(t1."Total Ready Time",0) as "Total Ready Time"
       ,round(t2."Total Not Ready Time",0) as "Total Not Ready Time"
       ,round((t1."Total Ready Time" + t2."Total Not Ready Time"),0) as "Calculated Logged in Time"
       ,round((t1."Total Logged in Time" - t1."Total Ready Time" - t2."Total Not Ready Time"),0) as "Logged in Time Error"      
from t1, t2
where t1.d_date = t2.d_date
and   t1.project_name = t2.project_name
and   t1.program_name = t2.program_name
order by t1.d_date;
</t>
  </si>
  <si>
    <r>
      <rPr>
        <b/>
        <i/>
        <sz val="9"/>
        <color theme="1"/>
        <rFont val="Calibri"/>
        <family val="2"/>
        <scheme val="minor"/>
      </rPr>
      <t xml:space="preserve">Talk Time through Ready Subtotal' </t>
    </r>
    <r>
      <rPr>
        <sz val="9"/>
        <color theme="1"/>
        <rFont val="Calibri"/>
        <family val="2"/>
        <scheme val="minor"/>
      </rPr>
      <t xml:space="preserve">--Results of the SQL will match the report </t>
    </r>
  </si>
  <si>
    <t>select d.d_date,j.project_name, p.program_name
      ,round(sum(f.talk_seconds)/60/60,0) as "Talk Time"
      ,round(sum(f.hold_seconds)/60/60,0) as "Hold Time"
      ,round(sum(f.wrap_seconds)/60/60,0) as "Wrap Time"
      ,round(sum(f.external_seconds)/60/60,0) as "External Time"
      ,round(sum(f.internal_seconds)/60/60,0) as "Internal Time"
      ,round(sum(f.preview_talk_seconds+f.predictive_talk_seconds+f.talk_reserve_seconds)/60/60,0) as "Other Time"
      ,round(sum(f.ring_seconds)/60/60,0) as "Ring Time"
      ,round(sum(f.idle_seconds)/60/60,0) as "Idle Time"
      ,round(sum(f.talk_seconds+f.hold_seconds+f.wrap_seconds+f.external_seconds+f.internal_seconds+f.preview_talk_seconds+
                 f.predictive_talk_seconds+f.talk_reserve_seconds+f.ring_seconds+f.idle_seconds)/60/60,0) as "Ready Subtotal"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where d_date between &amp;start_date and &amp;end_date
and   p.program_name = &amp;program_name
group by d.d_date,j.project_name, p.program_name
order by d.d_date;</t>
  </si>
  <si>
    <r>
      <rPr>
        <b/>
        <i/>
        <sz val="9"/>
        <color theme="1"/>
        <rFont val="Calibri"/>
        <family val="2"/>
        <scheme val="minor"/>
      </rPr>
      <t xml:space="preserve"> 'Training Time through Not Ready Subtotal'</t>
    </r>
    <r>
      <rPr>
        <sz val="9"/>
        <color theme="1"/>
        <rFont val="Calibri"/>
        <family val="2"/>
        <scheme val="minor"/>
      </rPr>
      <t xml:space="preserve"> -- Results of the SQL will match the report</t>
    </r>
  </si>
  <si>
    <t>select d_date,j.project_name, p.program_name
      ,round(sum(case when ac.activity_type_category = 'Training' then f2.activity_minutes else 0 end)/60,0) as "Training Time"
      ,round(sum(case when ac.activity_type_category = 'Meeting' then f2.activity_minutes else 0 end)/60,0) as "Meeting Time"
      ,round(sum(case when ac.activity_type_category = 'Lunch and Break' then f2.activity_minutes else 0 end)/60,0) as "Lunch and Break Time"            
      ,round(sum(case when ac.activity_type_category = 'Other Not Ready' then f2.activity_minutes else 0 end)/60,0) as "Other"
      ,round(sum(f2.activity_minutes)/60,0) as "Not Ready Subtotal"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where d_date between &amp;start_date and &amp;end_date
and   p.program_name = &amp;program_name
and   ac.activity_type_category in ('Lunch and Break', 'Meeting', 'Training','Other Not Ready')
group by d_date,j.project_name, p.program_name
order by d_date;</t>
  </si>
  <si>
    <r>
      <rPr>
        <b/>
        <i/>
        <sz val="9"/>
        <color theme="1"/>
        <rFont val="Calibri"/>
        <family val="2"/>
        <scheme val="minor"/>
      </rPr>
      <t xml:space="preserve"> 'Total Calls Handled through Labor Time per Calll'</t>
    </r>
    <r>
      <rPr>
        <sz val="9"/>
        <color theme="1"/>
        <rFont val="Calibri"/>
        <family val="2"/>
        <scheme val="minor"/>
      </rPr>
      <t xml:space="preserve"> -- Results of the SQL will match the report</t>
    </r>
  </si>
  <si>
    <t>with  t1 as (
select d.d_date,j.project_name, p.program_name
      ,round(sum(f.talk_seconds+f.hold_seconds+f.wrap_seconds+f.idle_seconds),2) as util_time
      ,round(sum(f.talk_seconds+f.hold_seconds+f.wrap_seconds),2) as occp_time      
      ,round(sum(f.login_seconds),2) as login_time
      ,sum(f.handle_calls_count) as handled
      ,sum(f.handle_time_seconds) as handle_time
      ,round(sum(f.talk_seconds+f.hold_seconds+f.wrap_seconds+f.external_seconds+f.internal_seconds+f.preview_talk_seconds+
                 f.predictive_talk_seconds+f.talk_reserve_seconds+f.ring_seconds+f.idle_seconds),2) as "Total Ready Time"
      ,round(sum(f.talk_seconds+f.hold_seconds+f.wrap_seconds+f.idle_seconds),2) as occp_denom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where d_date between &amp;start_date and &amp;end_date
and   p.program_name = &amp;program_name
group by d.d_date,j.project_name, p.program_name ),
t2 as (
select d_date,j.project_name, p.program_name
      ,round(sum(case when ac.is_paid_flag = 1 then f2.activity_minutes else 0 end)*60,2) as total_pd_time
      ,round(sum(case when ac.activity_type_category in ('Lunch and Break', 'Meeting', 'Training','Other Not Ready') then f2.activity_minutes else 0 end),2) as "Total Not Ready 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where d_date between &amp;start_date and &amp;end_date
and   p.program_name = &amp;program_name
group by d_date,j.project_name, p.program_name
order by d_date)
select t1.d_date,t1.project_name, t1.program_name
      ,t1.handled as "Total Calls Handled"
      ,round((t1."Total Ready Time" / t1.login_time)*100,0) as "Total Ready (%)"
      ,round(((t2."Total Not Ready Time"*60) / t1.login_time) *100,0) as "Total Not Ready (%)"
      ,round((t1.util_time / t2.total_pd_time)*100,0) as "Total Utilization (%)"
      ,round((t1.occp_time / t1.occp_denom)*100,0) as "Occupancy (%)"
      ,to_char(to_date(round((t1.handle_time / t1.handled),0),'sssss'),'hh24:mi:ss') as "AHT"     
      ,to_char(to_date(round((t2.total_pd_time / t1.handled),0),'sssss'),'hh24:mi:ss') as "Labor Time per Call"
from t1, t2
where t1.d_date = t2.d_date
and   t1.project_name = t2.project_name
and   t1.program_name = t2.program_name
order by t1.d_date;</t>
  </si>
  <si>
    <t>2.0 Agent Level Utilization and Occupancy Summary Dashboard</t>
  </si>
  <si>
    <t>Select Program, Year, Month and Agent from the drop down - execute the control query using the same date range, program and AGENT ID from the agent name in the dashboard</t>
  </si>
  <si>
    <t>select trunc(d.d_date,'MM'),s.site_name, a.first_name||' '||a.last_name as agent_name, a.login_id,  j.project_name, p.program_name
      ,round(((sum(f.talk_seconds+f.hold_seconds+f.wrap_seconds)) / (sum(f.talk_seconds+f.hold_seconds+f.wrap_seconds+f.idle_seconds)))*100,2) as "Occupancy (%)"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trunc(d.d_date,'MM'),j.project_name, p.program_name,s.site_name,a.first_name||' '||a.last_name,a.login_id;</t>
  </si>
  <si>
    <t>select trunc(d.d_date),s.site_name, a.first_name||' '||a.last_name as agent_name,a.login_id, j.project_name, p.program_name
      ,round(((sum(f.talk_seconds+f.hold_seconds+f.wrap_seconds)) / (sum(f.talk_seconds+f.hold_seconds+f.wrap_seconds+f.idle_seconds)))*100,1) as "Occupancy (%)"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trunc(d.d_date),j.project_name, p.program_name,s.site_name,a.first_name||' '||a.last_name,a.login_id 
order by trunc(d.d_date),j.project_name, p.program_name,s.site_name;</t>
  </si>
  <si>
    <t>with  t1 as (
select trunc(d.d_date,'MM') as d_date, s.site_name, a.first_name||' '||a.last_name as agent_name, a.login_id, j.project_name, p.program_name
      ,round(sum(f.login_seconds),2) as login_time
      ,round(sum(f.talk_seconds+f.hold_seconds+f.wrap_seconds+f.external_seconds+f.internal_seconds+f.preview_talk_seconds+
                 f.predictive_talk_seconds+f.talk_reserve_seconds+f.ring_seconds+f.idle_seconds),2) as "Total Ready 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trunc(d.d_date,'MM'),j.project_name, p.program_name,s.site_name,a.first_name||' '||a.last_name,a.login_id ), 
t2 as (
select trunc(d.d_date,'MM') as d_date,s.site_name, a.first_name||' '||a.last_name as agent_name, a.login_id, j.project_name, p.program_name
      ,round(sum(case when ac.activity_type_category in ('Lunch and Break', 'Meeting', 'Training','Other Not Ready') then f2.activity_minutes else 0 end),2) as "Total Not Ready 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inner join cc_d_agent a on f2.d_agent_id = a.d_agent_id
where d_date between &amp;start_date and &amp;end_date
and   a.login_id = &amp;login_id
group by trunc(d.d_date,'MM'),j.project_name, p.program_name,s.site_name,a.first_name||' '||a.last_name, a.login_id
order by trunc(d.d_date,'MM'))
select t1.d_date,t1.site_name, t1.project_name, t1.program_name
      ,round((t1."Total Ready Time" / t1.login_time)*100,2) as "Total Ready (%)"
      ,round(((t2."Total Not Ready Time"*60) / t1.login_time) *100,2) as "Total Not Ready (%)"
      ,round((t1."Total Ready Time" / t1.login_time)*100,2) + round(((t2."Total Not Ready Time"*60) / t1.login_time) *100,2) as "Sum Time"
from t1, t2
where t1.d_date = t2.d_date
and   t1.project_name = t2.project_name
and   t1.program_name = t2.program_name
and   t1.site_name = t2.site_name
and   t1.login_id = t2.login_id
order by t1.d_date;</t>
  </si>
  <si>
    <t>with  t1 as (
select trunc(d.d_date,'MM') as d_date, s.site_name,  a.first_name||' '||a.last_name as agent_name, a.login_id, j.project_name, p.program_name
      ,round(sum(f.talk_seconds+f.hold_seconds+f.wrap_seconds+f.idle_seconds),2) as util_time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trunc(d.d_date,'MM'),j.project_name, p.program_name,s.site_name,a.first_name||' '||a.last_name,a.login_id ),
t2 as (
select trunc(d.d_date,'MM') as d_date,s.site_name, a.first_name||' '||a.last_name as agent_name,a.login_id,j.project_name, p.program_name
      ,round(sum(case when ac.is_paid_flag = 1 then f2.activity_minutes else 0 end)*60,2) as total_pd_time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inner join cc_d_agent a on f2.d_agent_id = a.d_agent_id
where d_date between &amp;start_date and &amp;end_date
and   a.login_id = &amp;login_id
group by trunc(d.d_date,'MM'),j.project_name, p.program_name,s.site_name,a.first_name||' '||a.last_name,a.login_id
order by trunc(d.d_date,'MM'))
select t1.d_date,t1.site_name,t1.agent_name,  t1.project_name, t1.program_name
      ,round((t1.util_time / t2.total_pd_time)*100,2) as "Total Utilization (%)"
from t1, t2
where t1.d_date = t2.d_date
and   t1.project_name = t2.project_name
and   t1.program_name = t2.program_name
and   t1.site_name = t2.site_name
and   t1.login_id = t2.login_id
order by t1.d_date;</t>
  </si>
  <si>
    <t>with  t1 as (
select d.d_date,s.site_name, a.first_name||' '||a.last_name as agent_name, a.login_id, j.project_name, p.program_name
      ,round(sum(f.talk_seconds+f.hold_seconds+f.wrap_seconds+f.idle_seconds),2) as util_time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d.d_date,j.project_name, p.program_name,s.site_name,a.first_name||' '||a.last_name,a.login_id ),
t2 as (
select d.d_date,s.site_name,a.first_name||' '||a.last_name as agent_name, a.login_id, j.project_name, p.program_name
      ,round(sum(case when ac.is_paid_flag = 1 then f2.activity_minutes else 0 end)*60,2) as total_pd_time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inner join cc_d_agent a on f2.d_agent_id = a.d_agent_id
where d_date between &amp;start_date and &amp;end_date
and   a.login_id = &amp;login_id
group by d.d_date,j.project_name, p.program_name,s.site_name,a.first_name||' '||a.last_name,a.login_id
order by d.d_date)
select t1.d_date,t1.site_name,t1.agent_name, t1.project_name, t1.program_name
      ,round((t1.util_time / t2.total_pd_time)*100,0) as "Total Utilization (%)"
from t1, t2
where t1.d_date = t2.d_date
and   t1.project_name = t2.project_name
and   t1.program_name = t2.program_name
and   t1.site_name = t2.site_name
and   t1.login_id = t2.login_id
order by t1.d_date;</t>
  </si>
  <si>
    <t>select d_month, site_name, project_name, program_name, agent_name, login_id
      ,round((talk/ready_sub)*100,2) as "Talk Time %"
      ,round((idlet/ready_sub)*100,2) as "Idle Time %"
      ,round((hold/ready_sub)*100,2) as "Hold Time %"
      ,round((wrap/ready_sub)*100,2) as "Wrap Time %"
      ,round((other/ready_sub)*100,2) as "Other Talk Time"
      ,round((extern/ready_sub)*100,2) as "External Talk Time %"      
      ,round((ring/ready_sub)*100,2) as "Ring Time %"
      ,round((intern/ready_sub)*100,2) as "Internal Talk Time %"
from  (
select trunc(d.d_date,'MM') as d_month,s.site_name, a.first_name||' '||a.last_name as agent_name, a.login_id, j.project_name, p.program_name
      ,(sum(f.talk_seconds)) as  talk ,(sum(f.hold_seconds)) as  hold
      ,(sum(f.wrap_seconds)) as wrap  ,(sum(f.external_seconds)) as extern
      ,(sum(f.internal_seconds)) as intern ,(sum(f.preview_talk_seconds+f.predictive_talk_seconds+f.talk_reserve_seconds)) as other
      ,(sum(f.ring_seconds)) as ring  ,(sum(f.idle_seconds)) as idlet
      ,(sum(f.talk_seconds+f.hold_seconds+f.wrap_seconds+f.external_seconds+f.internal_seconds+f.ring_seconds+f.idle_seconds)) as ready_sub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trunc(d.d_date,'MM'),j.project_name, p.program_name,s.site_name,a.first_name||' '||a.last_name, a.login_id
order by trunc(d.d_date,'MM'));</t>
  </si>
  <si>
    <t xml:space="preserve">minor error on categories where rate is less than 1% - showing as 0.00% in report </t>
  </si>
  <si>
    <t xml:space="preserve">with  t1 as (
select trunc(d.d_date,'MM') as d_date,s.site_name,a.first_name||' '||a.last_name as agent_name, a.login_id, j.project_name, p.program_name
      ,sum(f.handle_calls_count) as handled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trunc(d.d_date,'MM'),j.project_name, p.program_name, s.site_name,a.first_name||' '||a.last_name, a.login_id ),
t2 as (
select trunc(d.d_date,'MM') as d_date,s.site_name,a.first_name||' '||a.last_name as agent_name, a.login_id, j.project_name, p.program_name
      ,round(sum(case when ac.is_paid_flag = 1 then f2.activity_minutes else 0 end)*60,2) as total_pd_time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inner join cc_d_agent a on f2.d_agent_id = a.d_agent_id
where d_date between &amp;start_date and &amp;end_date
and   a.login_id = &amp;login_id
group by trunc(d.d_date,'MM'),j.project_name, p.program_name,s.site_name,a.first_name||' '||a.last_name, a.login_id
order by d_date)
select t1.d_date,t1.site_name, t1.agent_name, t1.project_name, t1.program_name
      ,to_char(to_date(round((t2.total_pd_time / t1.handled),0),'sssss'),'hh24:mi:ss') as "Labor Time per Call"
from t1, t2
where t1.d_date = t2.d_date
and   t1.project_name = t2.project_name
and   t1.program_name = t2.program_name
and   t1.site_name = t2.site_name
and   t1.login_id = t2.login_id
order by t1.d_date;
</t>
  </si>
  <si>
    <t>with  t1 as (
select d.d_date,s.site_name, a.first_name||' '||a.last_name as agent_name,a.login_id, j.project_name, p.program_name
      ,sum(f.handle_calls_count) as handled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d.d_date,j.project_name, p.program_name,s.site_name,a.first_name||' '||a.last_name, a.login_id ),
t2 as (
select d_date,s.site_name,a.first_name||' '||a.last_name as agent_name,a.login_id, j.project_name, p.program_name
      ,round(sum(case when ac.is_paid_flag = 1 then f2.activity_minutes else 0 end)*60,2) as total_pd_time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inner join cc_d_agent a on f2.d_agent_id = a.d_agent_id
where d_date between &amp;start_date and &amp;end_date
and   a.login_id = &amp;login_id
group by d_date,j.project_name, p.program_name,s.site_name,a.first_name||' '||a.last_name, a.login_id
order by d_date)
select t1.d_date,t1.site_name, t1.agent_name, t1.project_name, t1.program_name
      ,to_char(to_date(round((t2.total_pd_time / t1.handled),0),'sssss'),'hh24:mi:ss') as "Labor Time per Call"
from t1, t2
where t1.d_date = t2.d_date
and   t1.project_name = t2.project_name
and   t1.program_name = t2.program_name
and   t1.site_name = t2.site_name
and   t1.login_id = t2.login_id
order by t1.d_date;</t>
  </si>
  <si>
    <t>select d_month, site_name, agent_name, login_id, project_name, program_name
       ,round((other/notrdy)*100,2) as "Other Time %"
       ,round((lunch/notrdy)*100,2) as "Lunch and Break Time %"
       ,round((meeting/notrdy)*100,2) as "Meeting Time %"
       ,round((train/notrdy)*100,2) as "Training Time %"
       ,round((unknown/notrdy)*100,2) as "Unknown Time %"       
from (
select trunc(d_date,'MM') as d_month,s.site_name, a.first_name||' '||a.last_name as agent_name,a.login_id, j.project_name, p.program_name
      ,round(sum(case when ac.activity_type_category = 'Training' then f2.activity_minutes else 0 end)/60,2) as train
      ,round(sum(case when ac.activity_type_category = 'Meeting' then f2.activity_minutes else 0 end)/60,2) as meeting
      ,round(sum(case when ac.activity_type_category = 'Lunch and Break' then f2.activity_minutes else 0 end)/60,2) as lunch          
      ,round(sum(case when ac.activity_type_category = 'Other Not Ready' then f2.activity_minutes else 0 end)/60,2) as other
      ,round(sum(case when ac.activity_type_category = 'Unknown' then f2.activity_minutes else 0 end)/60,2) as unknown
      ,round(sum(f2.activity_minutes)/60,2) as notrdy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inner join cc_d_agent a on f2.d_agent_id = a.d_agent_id
where d_date between &amp;start_date and &amp;end_date
and   a.login_id = &amp;login_id
and   ac.activity_type_category in ('Lunch and Break', 'Meeting', 'Training','Other Not Ready','Unknown')
group by trunc(d_date,'MM'),j.project_name, p.program_name,s.site_name,a.first_name||' '||a.last_name, a.login_id);</t>
  </si>
  <si>
    <t>select trunc(d.d_date,'MM') as d_month,s.site_name, a.first_name||' '||a.last_name as agent_name, a.login_id, j.project_name, p.program_name
      ,round(coalesce(sum(f.scheduled_shift_minutes)/60,0),2) as "Scheduled Agent Time" 
      ,round(coalesce(sum(f.actual_shift_minutes)/60,0),2) as "Actual Agent Time"
      ,round(coalesce(sum(f.scheduled_shift_minutes)/60,0) - coalesce(sum(f.actual_shift_minutes)/60,0),2) as "Variance"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trunc(d.d_date,'MM'),j.project_name, p.program_name, s.site_name,a.first_name||' '||a.last_name, a.login_id;</t>
  </si>
  <si>
    <t>with  t1 as (
select trunc(d.d_date,'MM') as d_date,s.site_name, a.first_name||' '||a.last_name as agent_name,a.login_id, j.project_name, p.program_name
      ,round(sum(f.login_seconds)/60,2) as login_time
      ,round((sum(f.talk_seconds+f.hold_seconds+f.wrap_seconds+f.external_seconds+f.internal_seconds+f.preview_talk_seconds+
                 f.predictive_talk_seconds+f.talk_reserve_seconds+f.ring_seconds+f.idle_seconds)/60),2) as ready_time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inner join cc_d_site s on f.d_site_id = s.d_site_id
where d_date between &amp;start_date and &amp;end_date
and   a.login_id = &amp;login_id
group by trunc(d.d_date,'MM'),j.project_name, p.program_name,s.site_name,a.first_name||' '||a.last_name, a.login_id ),
t2 as (
select trunc(d.d_date,'MM') as d_date,s.site_name, a.first_name||' '||a.last_name as agent_name, a.login_id, j.project_name, p.program_name
      ,round(sum(case when ac.activity_type_category in ('Lunch and Break', 'Meeting', 'Training','Other Not Ready') then f2.activity_minutes else 0 end),2) as not_rdy_time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cc_d_site s on f2.d_site_id = s.d_site_id
inner join cc_d_agent a on f2.d_agent_id = a.d_agent_id
where d_date between &amp;start_date and &amp;end_date
and   a.login_id = &amp;login_id
group by trunc(d.d_date,'MM'), j.project_name, p.program_name,s.site_name,a.first_name||' '||a.last_name, a.login_id
order by trunc(d.d_date,'MM'))
select t1.d_date, t1.site_name, t1.agent_name, t1.project_name as "Project", t1.program_name as "Program"  
       ,round((((t1.login_time - t1.ready_time - t2.not_rdy_time) / t1.login_time)*100),2) as "Logged in Time Error %"
from t1, t2
where t1.d_date = t2.d_date
and   t1.project_name = t2.project_name
and   t1.program_name = t2.program_name
and   t1.site_name = t2.site_name
and   t1.login_id = t2.login_id
order by t1.d_date;</t>
  </si>
  <si>
    <t>2.1 Agent Level Utilization and Occupancy Summary Report</t>
  </si>
  <si>
    <r>
      <t xml:space="preserve">Select Year, Month, Week of Month, Project and Program in the report; execute SQL for the </t>
    </r>
    <r>
      <rPr>
        <b/>
        <i/>
        <sz val="9"/>
        <color theme="1"/>
        <rFont val="Calibri"/>
        <family val="2"/>
        <scheme val="minor"/>
      </rPr>
      <t>program</t>
    </r>
    <r>
      <rPr>
        <sz val="9"/>
        <color theme="1"/>
        <rFont val="Calibri"/>
        <family val="2"/>
        <scheme val="minor"/>
      </rPr>
      <t xml:space="preserve"> and </t>
    </r>
    <r>
      <rPr>
        <b/>
        <i/>
        <sz val="9"/>
        <color theme="1"/>
        <rFont val="Calibri"/>
        <family val="2"/>
        <scheme val="minor"/>
      </rPr>
      <t>A SINGLE DAY</t>
    </r>
    <r>
      <rPr>
        <sz val="9"/>
        <color theme="1"/>
        <rFont val="Calibri"/>
        <family val="2"/>
        <scheme val="minor"/>
      </rPr>
      <t xml:space="preserve"> from the date range used in the report </t>
    </r>
    <r>
      <rPr>
        <b/>
        <i/>
        <sz val="9"/>
        <color theme="1"/>
        <rFont val="Calibri"/>
        <family val="2"/>
        <scheme val="minor"/>
      </rPr>
      <t>(control query will not for more than a single day)</t>
    </r>
  </si>
  <si>
    <t>with  t1 as (
select a.first_name||' '||a.last_name as agent_name, a.login_id, d.d_date, j.project_name, p.program_name
      ,round(coalesce(sum(f.scheduled_shift_minutes)*60,0),0) as "Sched Agent Time" 
      ,round(coalesce(sum(f.actual_shift_minutes)*60,0),0) as "Act Agent Time"
      ,round(sum(f.login_seconds),0) as "Total Logged in Time"
      ,round(sum(f.talk_seconds+f.hold_seconds+f.wrap_seconds+f.external_seconds+f.internal_seconds+f.preview_talk_seconds+
                 f.predictive_talk_seconds+f.talk_reserve_seconds+f.ring_seconds+f.idle_seconds),0) as "Total Ready 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where d_date between &amp;start_date and &amp;end_date
and   a.login_id = &amp;login_id
group by a.first_name||' '||a.last_name, a.login_id,d.d_date,j.project_name, p.program_name ),
t2 as (
select a.first_name||' '||a.last_name as agent_name, a.login_id, d_date,j.project_name, p.program_name
      ,round(sum(case when ac.activity_type_category in ('Scheduled PTO') then f2.activity_minutes else 0 end)*60,0) as "Sched PTO" 
      ,round(sum(case when ac.activity_type_category in ('Unscheduled PTO') then f2.activity_minutes else 0 end)*60,0) as "Unsched PTO" 
      ,round(sum(case when ac.activity_type_category in ('Lunch and Break', 'Meeting', 'Training','Other Not Ready') then f2.activity_minutes else 0 end)*60,0) as "Total Not Ready 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cc_d_agent a on f2.d_agent_id = a.d_agent_id
where d_date between &amp;start_date and &amp;end_date
and   a.login_id = &amp;login_id
group by a.first_name||' '||a.last_name, a.login_id,d_date, j.project_name, p.program_name
order by a.first_name||' '||a.last_name, d_date)
select t1.agent_name as "Agent ID", t1.login_id, t1.d_date, t1.project_name as "Project", t1.program_name as "Program" 
       ,to_char(to_date(t1."Sched Agent Time",'sssss'),'hh24:mi:ss') as "Sched Agent Time"
       ,to_char(to_date(t1."Act Agent Time",'sssss'),'hh24:mi:ss') as "Act Agent Time"     
       ,to_char(to_date(t2."Sched PTO",'sssss'),'hh24:mi:ss') as "Sched PTO"
       ,to_char(to_date(t2."Unsched PTO",'sssss'),'hh24:mi:ss') as "Unsched PTO"
       ,to_char(to_date(t1."Total Logged in Time",'sssss'),'hh24:mi:ss') as "Total Logged in Time"    
       ,to_char(to_date(t1."Total Ready Time",'sssss'),'hh24:mi:ss') as "Total Ready Time"    
       ,to_char(to_date(t2."Total Not Ready Time",'sssss'),'hh24:mi:ss') as "Total Not Ready Time"
       ,to_char(to_date(t1."Total Ready Time" + t2."Total Not Ready Time",'sssss'),'hh24:mi:ss') as "Calculated Logged in Time"
       ,to_char(to_date(abs(t1."Total Logged in Time" - t1."Total Ready Time" - t2."Total Not Ready Time"),'sssss'),'hh24:mi:ss') as "Logged in Time Error" 
from t1, t2
where t1.d_date = t2.d_date
and   t1.project_name = t2.project_name
and   t1.program_name = t2.program_name
and   t1.login_id = t2.login_id
order by t1.agent_name,t1.d_date;</t>
  </si>
  <si>
    <t>select a.first_name||' '||a.last_name as agent_name,d.d_date,j.project_name, p.program_name
      ,to_char(to_date(sum(f.talk_seconds),'sssss'),'hh24:mi:ss') as "Talk Time"    
      ,to_char(to_date(sum(f.hold_seconds),'sssss'),'hh24:mi:ss') as "Hold Time"
      ,to_char(to_date(sum(f.wrap_seconds),'sssss'),'hh24:mi:ss') as "Wrap Time"
      ,to_char(to_date(sum(f.external_seconds),'sssss'),'hh24:mi:ss') as "External Time"
      ,to_char(to_date(sum(f.internal_seconds),'sssss'),'hh24:mi:ss') as "Internal Time"
      ,to_char(to_date(sum(f.preview_talk_seconds+f.predictive_talk_seconds+f.talk_reserve_seconds),'sssss'),'hh24:mi:ss') as "Other Time"
      ,to_char(to_date(sum(f.ring_seconds),'sssss'),'hh24:mi:ss') as "Ring Time"      
      ,to_char(to_date(sum(f.idle_seconds),'sssss'),'hh24:mi:ss') as "Idle Time"   
      ,to_char(to_date(sum(f.talk_seconds+f.hold_seconds+f.wrap_seconds+f.external_seconds+f.internal_seconds+f.preview_talk_seconds+
                 f.predictive_talk_seconds+f.talk_reserve_seconds+f.ring_seconds+f.idle_seconds),'sssss'),'hh24:mi:ss') as "Ready Subtotal"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where d_date between &amp;start_date and &amp;end_date
and   p.program_name = &amp;program_name
--and   a.first_name||' '||a.last_name = 'Elvis Bull' -- use for testing
group by a.first_name||' '||a.last_name, d.d_date,j.project_name, p.program_name
order by a.first_name||' '||a.last_name, d.d_date;</t>
  </si>
  <si>
    <t xml:space="preserve">select agent_name, login_id, d_date, project_name, program_name
      ,to_char(to_date(train,'sssss'),'hh24:mi:ss') as "Training Time"
      ,to_char(to_date(meet,'sssss'),'hh24:mi:ss') as "Meeting Time"
      ,to_char(to_date(lunch,'sssss'),'hh24:mi:ss') as "Lunch Break Time"
      ,to_char(to_date(other,'sssss'),'hh24:mi:ss') as "Other Time"
      ,to_char(to_date(unknown,'sssss'),'hh24:mi:ss') as "Unknown Time"      
      ,to_char(to_date(notrdy,'sssss'),'hh24:mi:ss') as "Not Ready Subtotal"
from   
(
select a.first_name||' '||a.last_name as agent_name, a.login_id, d_date,j.project_name, p.program_name
      ,round((sum(case when ac.activity_type_category = 'Training' then f2.activity_minutes else 0 end)*60),0) as train
      ,round((sum(case when ac.activity_type_category = 'Meeting' then f2.activity_minutes else 0 end)*60),0) as meet
      ,round((sum(case when ac.activity_type_category = 'Lunch and Break' then f2.activity_minutes else 0 end)*60),0) as lunch
      ,round((sum(case when ac.activity_type_category = 'Other Not Ready' then f2.activity_minutes else 0 end)*60),0) as other
      ,round((sum(case when ac.activity_type_category = 'Unknown' then f2.activity_minutes else 0 end)*60),0) as unknown      
      ,round((sum(f2.activity_minutes)*60),0) as notrdy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cc_d_agent a on f2.d_agent_id = a.d_agent_id
where d_date between &amp;start_date and &amp;end_date
and   a.login_id = &amp;login_id
and   ac.activity_type_category in ('Lunch and Break', 'Meeting', 'Training','Other Not Ready','Unknown')
group by a.first_name||' '||a.last_name, d_date,j.project_name, p.program_name, a.login_id
order by a.first_name||' '||a.last_name, d_date
);
</t>
  </si>
  <si>
    <t>with  t1 as (
select a.first_name||' '||a.last_name as agent_name, a.login_id, d.d_date,j.project_name, p.program_name
      ,round(sum(f.talk_seconds+f.hold_seconds+f.wrap_seconds+f.idle_seconds),2) as util_time
      ,round(sum(f.talk_seconds+f.hold_seconds+f.wrap_seconds),2) as occp_time      
      ,round(sum(f.login_seconds),2) as login_time
      ,sum(f.handle_calls_count) as handled
      ,sum(f.handle_time_seconds) as handle_time
      ,round(sum(f.talk_seconds+f.hold_seconds+f.wrap_seconds+f.external_seconds+f.internal_seconds+f.preview_talk_seconds+
                 f.predictive_talk_seconds+f.talk_reserve_seconds+f.ring_seconds+f.idle_seconds),2) as "Total Ready Time"
from  cc_f_agent_by_date f
inner join cc_d_dates d on f.d_date_id = d.d_date_id
inner join cc_d_agent a on f.d_agent_id = a.d_agent_id
inner join cc_d_program p on f.d_program_id = p.program_id
inner join cc_d_project_targets pj on f.d_project_targets_id = pj.d_project_targets_id
inner join cc_d_project j on pj.project_id = j.project_id
where d_date between &amp;start_date and &amp;end_date
and   a.login_id = &amp;login_id
group by a.first_name||' '||a.last_name, d.d_date,j.project_name, p.program_name, a.login_id ),
t2 as (
select a.first_name||' '||a.last_name as agent_name, a.login_id, d_date,j.project_name, p.program_name
      ,round(sum(case when ac.is_paid_flag = 1 then f2.activity_minutes else 0 end)*60,2) as total_pd_time
      ,round(sum(case when ac.activity_type_category in ('Lunch and Break', 'Meeting', 'Training','Other Not Ready') then f2.activity_minutes else 0 end),2) as "Total Not Ready Time" 
from   cc_f_agent_activity_by_date f2
inner join cc_d_dates d on f2.d_date_id = d.d_date_id
inner join cc_d_activity_type ac on f2.d_activity_type_id = ac.d_activity_type_id
inner join cc_d_program p on f2.d_program_id = p.program_id
inner join cc_d_project j on f2.d_project_id = j.project_id
inner join cc_d_agent a on f2.d_agent_id = a.d_agent_id
where d_date between &amp;start_date and &amp;end_date
and   a.login_id = &amp;login_id
group by a.first_name||' '||a.last_name, d_date,j.project_name, p.program_name, a.login_id
order by d_date)
select t1.d_date, t1.login_id, t1.project_name, t1.program_name
      ,t1.handled as "Total Calls Handled"
      ,round((t1.util_time / t1.login_time)*100,2) as "Utilization (%)"
      ,round((t1.util_time / t2.total_pd_time)*100,2) as "Total Utilization (%)"
      ,round((t1.occp_time / t1.util_time)*100,2) as "Occupancy (%)"
      ,to_char(to_date(round((t1.handle_time / t1.handled),0),'sssss'),'hh24:mi:ss') as "AHT"     
      ,to_char(to_date(round((t2.total_pd_time / t1.handled),0),'sssss'),'hh24:mi:ss') as "Labor Time per Call1"       
from t1, t2
where t1.d_date = t2.d_date
and   t1.project_name = t2.project_name
and   t1.program_name = t2.program_name
and   t1.login_id = t2.login_id
order by t1.d_date;</t>
  </si>
  <si>
    <t>Production Planning Reports</t>
  </si>
  <si>
    <t>1.01 Contact Center Actual Arrivals and Performance Dashboard</t>
  </si>
  <si>
    <t>Select Year, Month, Program, Contact Type and Queue in dashboard; select same date range, program, contact and queue name in control query</t>
  </si>
  <si>
    <r>
      <t xml:space="preserve">Contact Arrivals - Queue by Day; </t>
    </r>
    <r>
      <rPr>
        <sz val="9"/>
        <color theme="1"/>
        <rFont val="Calibri"/>
        <family val="2"/>
        <scheme val="minor"/>
      </rPr>
      <t xml:space="preserve"> the results of the control query will match the daily counts in the 3 panels in the dashboard</t>
    </r>
  </si>
  <si>
    <t>select d.d_date, p.program_name as program, q.queue_type, q.queue_name
      ,sum(f.contacts_offered) as offered
      ,sum(f.contacts_handled) as handled
      ,sum(f.contacts_transferred) as transferred
from   cc_f_actuals_queue_interval f
inner join cc_d_dates d on f.d_date_id = d.d_date_id
inner join cc_d_program p on f.d_program_id = p.program_id
inner join cc_d_contact_queue q on f.d_contact_queue_id = q.d_contact_queue_id
inner join cc_d_project pj on f.d_project_id = pj.project_id
where d.d_date between &amp;start_date and &amp;end_date
and   p.program_name = &amp;program_name
and   q.queue_type = &amp;queue_type
and   q.queue_name = &amp;queue_name
group by d.d_date, p.program_name, q.queue_type,q.queue_name
order by d.d_date;</t>
  </si>
  <si>
    <r>
      <t xml:space="preserve">Contact Arrivals - Queue - Month to Date; </t>
    </r>
    <r>
      <rPr>
        <sz val="9"/>
        <color theme="1"/>
        <rFont val="Calibri"/>
        <family val="2"/>
        <scheme val="minor"/>
      </rPr>
      <t xml:space="preserve"> the results of the control query will match the totals on the 3 panels in the dashboard</t>
    </r>
  </si>
  <si>
    <t>select trunc(d.d_date,'MM') , p.program_name as program, q.queue_type, q.queue_name
      ,sum(f.contacts_offered) as offered
      ,sum(f.contacts_handled) as handled
      ,sum(f.contacts_transferred) as transferred
from   cc_f_actuals_queue_interval f
inner join cc_d_dates d on f.d_date_id = d.d_date_id
inner join cc_d_program p on f.d_program_id = p.program_id
inner join cc_d_contact_queue q on f.d_contact_queue_id = q.d_contact_queue_id
inner join cc_d_project pj on f.d_project_id = pj.project_id
where d.d_date between &amp;start_date and &amp;end_date
and   p.program_name = &amp;program_name
and   q.queue_type = &amp;queue_type
and   q.queue_name = &amp;queue_name
group by trunc(d.d_date,'MM'), p.program_name, q.queue_type,q.queue_name
order by trunc(d.d_date,'MM');</t>
  </si>
  <si>
    <r>
      <t xml:space="preserve">Service Performance - Queue by Day; </t>
    </r>
    <r>
      <rPr>
        <sz val="9"/>
        <color theme="1"/>
        <rFont val="Calibri"/>
        <family val="2"/>
        <scheme val="minor"/>
      </rPr>
      <t xml:space="preserve"> the results of the control query will match the daily counts in the 6 panels in the dashboard</t>
    </r>
  </si>
  <si>
    <t>select d.d_date, p.program_name as program, q.queue_type,q.queue_name
      ,case when sum(f.contacts_handled)= 0 then 0 else round((sum(f.answer_wait_time_total) / sum(f.contacts_handled)),0) end as asa
      ,case when sum(f.contacts_offered)= 0 then 0 else round((sum(f.contacts_abandoned) / sum(f.contacts_offered))*100,2) end as ab_rate
      ,case when sum(f.contacts_handled)= 0 then 0 else round((sum(f.talk_time_total+f.hold_time_total+f.after_call_work_time_total)/sum(f.contacts_handled)),2) end as aht
      ,case when sum (f.contacts_handled) = 0 then 0 else round((sum(f.service_level_answered_count)/sum(f.contacts_handled))*100,2) end as sla_prct
      ,case when sum(f.contacts_handled)= 0 then 0 else round((sum(f.contacts_transferred) / sum(f.contacts_handled))*100,2) end as xfer_rate
      ,max(f.max_speed_of_answer) as max_sta
from   cc_f_actuals_queue_interval f
inner join cc_d_dates d on f.d_date_id = d.d_date_id
inner join cc_d_program p on f.d_program_id = p.program_id
inner join cc_d_contact_queue q on f.d_contact_queue_id = q.d_contact_queue_id
inner join cc_d_project pj on f.d_project_id = pj.project_id
where d.d_date between &amp;start_date and &amp;end_date
and   p.program_name = &amp;program_name
and   q.queue_type = &amp;queue_type
and   q.queue_name = &amp;queue_name
group by d.d_date, p.program_name, q.queue_type,q.queue_name
order by d.d_date;</t>
  </si>
  <si>
    <r>
      <t xml:space="preserve">Service Performance - Queue by Day; </t>
    </r>
    <r>
      <rPr>
        <sz val="9"/>
        <color theme="1"/>
        <rFont val="Calibri"/>
        <family val="2"/>
        <scheme val="minor"/>
      </rPr>
      <t xml:space="preserve"> the results of the control query will match the totals counts in the 6 panels in the dashboard</t>
    </r>
  </si>
  <si>
    <t>select trunc(d.d_date,'MM'), p.program_name as program, q.queue_type,q.queue_name
      ,case when sum(f.contacts_handled)= 0 then 0 else round((sum(f.answer_wait_time_total) / sum(f.contacts_handled)),0) end as asa
      ,case when sum(f.contacts_offered)= 0 then 0 else round((sum(f.contacts_abandoned) / sum(f.contacts_offered))*100,2) end as ab_rate
      ,case when sum(f.contacts_handled)= 0 then 0 else round((sum(f.talk_time_total+f.hold_time_total+f.after_call_work_time_total)/sum(f.contacts_handled)),2) end as aht
      ,case when sum (f.contacts_handled) = 0 then 0 else round((sum(f.service_level_answered_count)/sum(f.contacts_handled))*100,2) end as sla_prct
      ,case when sum(f.contacts_handled)= 0 then 0 else round((sum(f.contacts_transferred) / sum(f.contacts_handled))*100,2) end as xfer_rate
      ,max(f.max_speed_of_answer) as max_sta
from   cc_f_actuals_queue_interval f
inner join cc_d_dates d on f.d_date_id = d.d_date_id
inner join cc_d_program p on f.d_program_id = p.program_id
inner join cc_d_contact_queue q on f.d_contact_queue_id = q.d_contact_queue_id
inner join cc_d_project pj on f.d_project_id = pj.project_id
where d.d_date between &amp;start_date and &amp;end_date
and   p.program_name = &amp;program_name
and   q.queue_type = &amp;queue_type
and   q.queue_name = &amp;queue_name
group by trunc(d.d_date,'MM'), p.program_name, q.queue_type,q.queue_name
order by trunc(d.d_date,'MM');</t>
  </si>
  <si>
    <t>Select Year, Month, Program, Unit of Work in dashboard; select same date range, program and unit of work in control query</t>
  </si>
  <si>
    <r>
      <t xml:space="preserve">Contact Arrivals - Unit of Work by Day; </t>
    </r>
    <r>
      <rPr>
        <sz val="9"/>
        <color theme="1"/>
        <rFont val="Calibri"/>
        <family val="2"/>
        <scheme val="minor"/>
      </rPr>
      <t xml:space="preserve"> the results of the control query will match the daily counts in the 3 panels in the dashboard</t>
    </r>
  </si>
  <si>
    <t>select d.d_date, p.program_name as program, w.unit_of_work_name
      ,sum(f.contacts_offered) as offered
      ,sum(f.contacts_handled) as handled
      ,sum(f.contacts_transferred) as transferred
from   cc_f_actuals_queue_interval f
inner join cc_d_dates d on f.d_date_id = d.d_date_id
inner join cc_d_program p on f.d_program_id = p.program_id
inner join cc_d_unit_of_work w on f.d_unit_of_work_id = w.uow_id
where d.d_date between &amp;start_date and &amp;end_date
and   p.program_name = &amp;program_name
and   w.unit_of_work_name = &amp;unitofwork_name
group by d.d_date, p.program_name, w.unit_of_work_name
order by d.d_date;</t>
  </si>
  <si>
    <r>
      <t xml:space="preserve">Contact Arrivals - Unit of Work - Month to Date; </t>
    </r>
    <r>
      <rPr>
        <sz val="9"/>
        <color theme="1"/>
        <rFont val="Calibri"/>
        <family val="2"/>
        <scheme val="minor"/>
      </rPr>
      <t xml:space="preserve"> the results of the control query will match the totals on the 3 panels in the dashboard</t>
    </r>
  </si>
  <si>
    <t>select trunc(d.d_date,'MM') , p.program_name as program, w.unit_of_work_name
      ,sum(f.contacts_offered) as offered
      ,sum(f.contacts_handled) as handled
      ,sum(f.contacts_transferred) as transferred
from   cc_f_actuals_queue_interval f
inner join cc_d_dates d on f.d_date_id = d.d_date_id
inner join cc_d_program p on f.d_program_id = p.program_id
inner join cc_d_unit_of_work w on f.d_unit_of_work_id = w.uow_id
where d.d_date between &amp;start_date and &amp;end_date
and   p.program_name = &amp;program_name
and   w.unit_of_work_name = &amp;unitofwork_name
group by trunc(d.d_date,'MM'), p.program_name, w.unit_of_work_name
order by trunc(d.d_date,'MM');</t>
  </si>
  <si>
    <r>
      <t xml:space="preserve">Service Performance - Unit of Work by Day; </t>
    </r>
    <r>
      <rPr>
        <sz val="9"/>
        <color theme="1"/>
        <rFont val="Calibri"/>
        <family val="2"/>
        <scheme val="minor"/>
      </rPr>
      <t xml:space="preserve"> the results of the control query will match the daily counts in the 6 panels in the dashboard</t>
    </r>
  </si>
  <si>
    <t>select d.d_date, p.program_name as program, w.unit_of_work_name
      ,case when sum(f.contacts_handled)= 0 then 0 else round((sum(f.answer_wait_time_total) / sum(f.contacts_handled)),0) end as asa
      ,case when sum(f.contacts_offered)= 0 then 0 else round((sum(f.contacts_abandoned) / sum(f.contacts_offered))*100,2) end as ab_rate
      ,case when sum(f.contacts_handled)= 0 then 0 else round((sum(f.talk_time_total+f.hold_time_total+f.after_call_work_time_total)/sum(f.contacts_handled)),2) end as aht
      ,case when sum (f.contacts_handled) = 0 then 0 else round((sum(f.service_level_answered_count)/sum(f.contacts_handled))*100,2) end as sla_prct
      ,case when sum(f.contacts_handled)= 0 then 0 else round((sum(f.contacts_transferred) / sum(f.contacts_handled))*100,2) end as xfer_rate
      ,max(f.max_speed_of_answer) as max_sta
from   cc_f_actuals_queue_interval f
inner join cc_d_dates d on f.d_date_id = d.d_date_id
inner join cc_d_program p on f.d_program_id = p.program_id
inner join cc_d_unit_of_work w on f.d_unit_of_work_id = w.uow_id
where d.d_date between &amp;start_date and &amp;end_date
and   p.program_name = &amp;program_name
and   w.unit_of_work_name = &amp;unitofwork_name
group by d.d_date, p.program_name,w.unit_of_work_name
order by d.d_date;</t>
  </si>
  <si>
    <r>
      <t xml:space="preserve">Service Performance - Unit of Work by Day; </t>
    </r>
    <r>
      <rPr>
        <sz val="9"/>
        <color theme="1"/>
        <rFont val="Calibri"/>
        <family val="2"/>
        <scheme val="minor"/>
      </rPr>
      <t xml:space="preserve"> the results of the control query will match the totals counts in the 6 panels in the dashboard</t>
    </r>
  </si>
  <si>
    <t>select trunc(d.d_date,'MM'), p.program_name as program, w.unit_of_work_name
      ,case when sum(f.contacts_handled)= 0 then 0 else round((sum(f.answer_wait_time_total) / sum(f.contacts_handled)),0) end as asa
      ,case when sum(f.contacts_offered)= 0 then 0 else round((sum(f.contacts_abandoned) / sum(f.contacts_offered))*100,2) end as ab_rate
      ,case when sum(f.contacts_handled)= 0 then 0 else round((sum(f.talk_time_total+f.hold_time_total+f.after_call_work_time_total)/sum(f.contacts_handled)),2) end as aht
      ,case when sum (f.contacts_handled) = 0 then 0 else round((sum(f.service_level_answered_count)/sum(f.contacts_handled))*100,2) end as sla_prct
      ,case when sum(f.contacts_handled)= 0 then 0 else round((sum(f.contacts_transferred) / sum(f.contacts_handled))*100,2) end as xfer_rate
      ,max(f.max_speed_of_answer) as max_sta
from   cc_f_actuals_queue_interval f
inner join cc_d_dates d on f.d_date_id = d.d_date_id
inner join cc_d_program p on f.d_program_id = p.program_id
inner join cc_d_unit_of_work w on f.d_unit_of_work_id = w.uow_id
where d.d_date between &amp;start_date and &amp;end_date
and   p.program_name = &amp;program_name
and   w.unit_of_work_name = &amp;unitofwork_name
group by trunc(d.d_date,'MM'), p.program_name, w.unit_of_work_name
order by trunc(d.d_date,'MM');</t>
  </si>
  <si>
    <t>1.0 Contact Center Actual Arrivals and Performance Overview Dashboard (Forecast -to-Actuals Deviations)</t>
  </si>
  <si>
    <t>Select Month, Program, Unit of Work in dashboard; select same date range, program and unit of work in control query</t>
  </si>
  <si>
    <r>
      <t xml:space="preserve">Contact Arrivals - Forecast and Actuals by Date; </t>
    </r>
    <r>
      <rPr>
        <sz val="9"/>
        <color theme="1"/>
        <rFont val="Calibri"/>
        <family val="2"/>
        <scheme val="minor"/>
      </rPr>
      <t xml:space="preserve"> the results of the conrtol query will match the daily counts for forecast and actuals for the 3 panels </t>
    </r>
  </si>
  <si>
    <r>
      <t xml:space="preserve">Contact Arrivals - Forecast and Actuals by Date; </t>
    </r>
    <r>
      <rPr>
        <sz val="9"/>
        <color theme="1"/>
        <rFont val="Calibri"/>
        <family val="2"/>
        <scheme val="minor"/>
      </rPr>
      <t xml:space="preserve"> the results of the conrtol query will match the month to date totals for forecast and actuals for the 3 panels </t>
    </r>
  </si>
  <si>
    <r>
      <t xml:space="preserve">Service Performance - Forecast and Actuals by Day; </t>
    </r>
    <r>
      <rPr>
        <sz val="9"/>
        <color theme="1"/>
        <rFont val="Calibri"/>
        <family val="2"/>
        <scheme val="minor"/>
      </rPr>
      <t xml:space="preserve"> the results of the control query will match the daily counts in the 6 panels in the dashboard</t>
    </r>
  </si>
  <si>
    <r>
      <t xml:space="preserve">Service Performance - Forecast and Actuals by Day; </t>
    </r>
    <r>
      <rPr>
        <sz val="9"/>
        <color theme="1"/>
        <rFont val="Calibri"/>
        <family val="2"/>
        <scheme val="minor"/>
      </rPr>
      <t xml:space="preserve"> the results of the control query will match the totals counts in the 6 panels in the dashboard</t>
    </r>
  </si>
  <si>
    <t>1.11 Contact Center Actual Arrivals and Performance Monthly Report by Queue</t>
  </si>
  <si>
    <t>Execute Report and select Month, Program and Contact Type; execute the test sql and select that same date range, program and contact type.</t>
  </si>
  <si>
    <r>
      <t xml:space="preserve">Metrics in the </t>
    </r>
    <r>
      <rPr>
        <b/>
        <i/>
        <sz val="9"/>
        <color theme="1"/>
        <rFont val="Calibri"/>
        <family val="2"/>
        <scheme val="minor"/>
      </rPr>
      <t>report by Date</t>
    </r>
    <r>
      <rPr>
        <sz val="9"/>
        <color theme="1"/>
        <rFont val="Calibri"/>
        <family val="2"/>
        <scheme val="minor"/>
      </rPr>
      <t xml:space="preserve"> will match the results in the control query.</t>
    </r>
  </si>
  <si>
    <t>select d.d_date, p.program_name as program, q.queue_type
      ,sum(f.contacts_offered) as offered
      ,sum(f.contacts_abandoned) as abandon
      ,sum(f.short_abandons) as short_aban
      ,sum(f.contacts_handled) as handled
      ,case when sum (f.contacts_handled) = 0 then 0 else round((sum(f.service_level_answered_count)/sum(f.contacts_handled))*100,2) end as sla_prct
      ,sum(f.contacts_transferred) as xfer
      ,case when sum(f.contacts_offered)= 0 then 0 else round((sum(f.contacts_abandoned) / sum(f.contacts_offered))*100,2) end as ab_rate
      ,case when sum(f.contacts_handled)= 0 then 0 else round((sum(f.answer_wait_time_total) / sum(f.contacts_handled)),0) end as asa
      ,case when sum(f.contacts_handled)= 0 then 0 else round((sum(f.talk_time_total+f.hold_time_total+f.after_call_work_time_total)/sum(f.contacts_handled)/60),1) end as aht
      ,case when sum(f.contacts_handled)= 0 then 0 else round((sum(f.contacts_transferred) / sum(f.contacts_handled))*100,0) end as xfer_rate
      ,max(f.max_speed_of_answer) as max_sta
      ,max(f.mean_speed_of_answer) as mean_soa
from   cc_f_actuals_queue_interval f
inner join cc_d_dates d on f.d_date_id = d.d_date_id
inner join cc_d_program p on f.d_program_id = p.program_id
inner join cc_d_contact_queue q on f.d_contact_queue_id = q.d_contact_queue_id
inner join cc_d_interval i on f.d_interval_id = i.d_interval_id
inner join cc_d_project pj on f.d_project_id = pj.project_id
where d.d_date between &amp;start_date and &amp;end_date
and   p.program_name = &amp;program_name
and   q.queue_type = &amp;queue_type
group by d.d_date, p.program_name, q.queue_type
order by d.d_date;</t>
  </si>
  <si>
    <r>
      <t>Metrics in the</t>
    </r>
    <r>
      <rPr>
        <b/>
        <i/>
        <sz val="9"/>
        <color theme="1"/>
        <rFont val="Calibri"/>
        <family val="2"/>
        <scheme val="minor"/>
      </rPr>
      <t xml:space="preserve"> report Totals</t>
    </r>
    <r>
      <rPr>
        <sz val="9"/>
        <color theme="1"/>
        <rFont val="Calibri"/>
        <family val="2"/>
        <scheme val="minor"/>
      </rPr>
      <t xml:space="preserve"> row will match the results in the control query.</t>
    </r>
  </si>
  <si>
    <t>select trunc(d.d_date,'MM') as d_month, p.program_name as program, q.queue_type
      ,sum(f.contacts_offered) as offered
      ,sum(f.contacts_abandoned) as abandon
      ,sum(f.short_abandons) as short_aban
      ,sum(f.contacts_handled) as handled
      ,case when sum (f.contacts_handled) = 0 then 0 else round((sum(f.service_level_answered_count)/sum(f.contacts_handled))*100,2) end as sla_prct
      ,sum(f.contacts_transferred) as xfer
      ,case when sum(f.contacts_offered)= 0 then 0 else round((sum(f.contacts_abandoned) / sum(f.contacts_offered))*100,2) end as ab_rate
      ,case when sum(f.contacts_handled)= 0 then 0 else round((sum(f.answer_wait_time_total) / sum(f.contacts_handled)),0) end as asa
      ,case when sum(f.contacts_handled)= 0 then 0 else round((sum(f.talk_time_total+f.hold_time_total+f.after_call_work_time_total)/sum(f.contacts_handled)/60),1) end as aht
      ,case when sum(f.contacts_handled)= 0 then 0 else round((sum(f.contacts_transferred) / sum(f.contacts_handled))*100,0) end as xfer_rate
      ,max(f.max_speed_of_answer) as max_sta
      ,max(f.mean_speed_of_answer) as mean_soa
from   cc_f_actuals_queue_interval f
inner join cc_d_dates d on f.d_date_id = d.d_date_id
inner join cc_d_program p on f.d_program_id = p.program_id
inner join cc_d_contact_queue q on f.d_contact_queue_id = q.d_contact_queue_id
inner join cc_d_interval i on f.d_interval_id = i.d_interval_id
inner join cc_d_project pj on f.d_project_id = pj.project_id
where d.d_date between &amp;start_date and &amp;end_date
and   p.program_name = &amp;program_name
and   q.queue_type = &amp;queue_type
group by trunc(d.d_date,'MM'), p.program_name, q.queue_type
order by trunc(d.d_date,'MM');</t>
  </si>
  <si>
    <t>CISCO DateTime</t>
  </si>
  <si>
    <t>Oracle DateTime</t>
  </si>
  <si>
    <t>Call Match</t>
  </si>
  <si>
    <t>Int_ID</t>
  </si>
  <si>
    <t>D_Date</t>
  </si>
  <si>
    <t>Queue_Name</t>
  </si>
  <si>
    <t>SLA_Count</t>
  </si>
  <si>
    <t>P1</t>
  </si>
  <si>
    <t>P2</t>
  </si>
  <si>
    <t>P3</t>
  </si>
  <si>
    <t>P4</t>
  </si>
  <si>
    <t>P5</t>
  </si>
  <si>
    <t>P6</t>
  </si>
  <si>
    <t>P7</t>
  </si>
  <si>
    <t>P8</t>
  </si>
  <si>
    <t>P9</t>
  </si>
  <si>
    <t>P10</t>
  </si>
  <si>
    <t>PP 16</t>
  </si>
  <si>
    <t>Interval_Date</t>
  </si>
  <si>
    <t>Contacts_Handled</t>
  </si>
  <si>
    <t>Speed of Ans</t>
  </si>
  <si>
    <t>PP 16 detail</t>
  </si>
  <si>
    <t xml:space="preserve">Filter ID </t>
  </si>
  <si>
    <t>COEEMXDP - 9/1/2016</t>
  </si>
  <si>
    <t>Totals</t>
  </si>
  <si>
    <t>CARC_CHCO_4263_SECSR</t>
  </si>
  <si>
    <t>CARC_CHCO_4263_GL_RONA</t>
  </si>
  <si>
    <t>CARC_CHCO_3003_SSCSR</t>
  </si>
  <si>
    <t>CARC_CHCO_6006_SCNCSR</t>
  </si>
  <si>
    <t>CARC_CHCO_8008_SVCSR</t>
  </si>
  <si>
    <t>CARC_CHCO_6885_SMCSR</t>
  </si>
  <si>
    <t>CARC_CHCO_5034_SFCSR</t>
  </si>
  <si>
    <t>CARC_CHCO_7007_SRCSR</t>
  </si>
  <si>
    <t>CARC_CHCO_6881_SABCSR</t>
  </si>
  <si>
    <t>CARC_CHCO_5032_SAMCSR</t>
  </si>
  <si>
    <t>CARC_CHCO_6890_STCSR</t>
  </si>
  <si>
    <t>CARC_CHCO_5005_SCMCSR</t>
  </si>
  <si>
    <t>CARC_CHCO_6883_SKCSR</t>
  </si>
  <si>
    <t>select  'PP21'  as TestNumber, ai.acd_interval_id, si.interval_start_date, cq.queue_name, ai.contacts_handled, ai.min_handle_time, ai.min_speed_of_answer, 
ai.min_speed_to_handle, ai.max_handle_time, ai.max_speed_of_answer, ai.max_speed_to_handle from CC_S_ACD_INTERVAL ai 
inner join cc_s_interval si on ai.interval_id = si.interval_id
inner join CC_S_contact_queue cq on ai.contact_queue_id = cq.contact_queue_id where contacts_handled &gt; 5 
and (min_handle_time = 0 OR min_speed_of_answer = 0 or min_speed_to_handle = 0 or max_handle_time = 0 
or max_speed_of_answer = 0 or max_speed_to_handle = 0) --and ai.interval_date &gt;= &amp;ST_DATE 
order by si.interval_start_date desc;</t>
  </si>
  <si>
    <t>select q.queue_number, q.queue_name, f.filter_type, f.value
from cc_c_contact_queue q
full outer join cc_c_filter f on q.queue_number = f.value
where f.filter_type in ('ACD_CALL_TYPE_ID_INC','ACD_CALL_TYPE_ID_IGNORE')
and q.queue_name like 'CARC%'
order by 1;</t>
  </si>
  <si>
    <t>CARC_CHCO_4263_SM1_100011</t>
  </si>
  <si>
    <t>CARC_CHCO_4263_SM2_100011</t>
  </si>
  <si>
    <t>CARC_CHCO_2022_SHCSR</t>
  </si>
  <si>
    <t>CARC_CHCO_4091_SLCSR</t>
  </si>
  <si>
    <t>CARC_CHCO_4263_GL_SXFER</t>
  </si>
  <si>
    <t>CARC_CHCO_9009_PVD</t>
  </si>
  <si>
    <t>CARC_CHCO_6615_ESR</t>
  </si>
  <si>
    <t>CARC_CHCO_7170_RSRCH</t>
  </si>
  <si>
    <t>CARC_CHCO_4263_FLSM</t>
  </si>
  <si>
    <t>CARC_CHCO_4263_GL_AFTR</t>
  </si>
  <si>
    <t>CARC_CHCO_4263_GL_NOAGT</t>
  </si>
  <si>
    <t>CARC_CHCO_2022_HMVM</t>
  </si>
  <si>
    <t>CARC_CHCO_4091_LAVM</t>
  </si>
  <si>
    <t>CARC_CHCO_5005_CMVM</t>
  </si>
  <si>
    <t>CARC_CHCO_6006_CNVM</t>
  </si>
  <si>
    <t>CARC_CHCO_7007_RUVM</t>
  </si>
  <si>
    <t>CARC_CHCO_8008_VTVM</t>
  </si>
  <si>
    <t>CARC_CHCO_6881_ABVM</t>
  </si>
  <si>
    <t>CARC_CHCO_6883_KOVM</t>
  </si>
  <si>
    <t>CARC_CHCO_6885_MNVM</t>
  </si>
  <si>
    <t>CARC_CHCO_6890_TAVM</t>
  </si>
  <si>
    <t>CARC_CHCO_5032_AMVM</t>
  </si>
  <si>
    <t>CARC_CHCO_5034_FAVM</t>
  </si>
  <si>
    <t>CARC_CHCO_3003_FLSM</t>
  </si>
  <si>
    <t>CARC_CHCO_4263_ENVM</t>
  </si>
  <si>
    <t>CARC_CHCO_3003_SPVM</t>
  </si>
  <si>
    <t>CARC_CHCO_4263_PVVM</t>
  </si>
  <si>
    <t>CARC_CHCO_4263_ESVM</t>
  </si>
  <si>
    <t>CARC_CHCO_4263_REVM</t>
  </si>
  <si>
    <t>select * from cc_c_contact_queue q where (q.unit_of_work_name is null or upper(q.unit_of_work_name) = 'UNKNOWN')
and q.queue_name like 'CARC%';</t>
  </si>
  <si>
    <t>select * 
from cc_c_filter 
where filter_type = 'ACD_ARG_ID_INC'
and value in (5151,
5152,
5153,
5154,
5155,
5156,
5157,
5158,
5159,
5160,
5161,
5162,
5163,
5164,
5165,
5166
);</t>
  </si>
  <si>
    <t>Compare against the configuration spreadsheet from project - Agent Routing Group worksheet</t>
  </si>
  <si>
    <t>CARC_CHCO_4263_GL_CC</t>
  </si>
  <si>
    <t>Unknown</t>
  </si>
  <si>
    <t>CARC_CHCO_4263_GL_CC_AHMED</t>
  </si>
  <si>
    <t>CARC_CHCO_4263_GL_CC_ARLEEN</t>
  </si>
  <si>
    <t>CARC_CHCO_4263_GL_CC_ENRIQUE</t>
  </si>
  <si>
    <t>CARC_CHCO_4263_GL_CC_JOAQUIN</t>
  </si>
  <si>
    <t>CARC_CHCO_4263_GL_CC_ONDREA</t>
  </si>
  <si>
    <t>CARC_CHCO_4263_GL_CC_REVERIE</t>
  </si>
  <si>
    <t>CARC_CHCO_4263_GL_CC_SIMON</t>
  </si>
  <si>
    <t>CARC_CHCO_4263_GL_CVP_ERR</t>
  </si>
  <si>
    <t>CARC_CHCO_4263_GL_EMG</t>
  </si>
  <si>
    <t>CARC_CHCO_4263_GL_HLDY</t>
  </si>
  <si>
    <t>CARC_CHCO_4263_GL_MNT</t>
  </si>
  <si>
    <t>CARC_CHCO_4263_GL_VRU_ABR</t>
  </si>
  <si>
    <t>CARC_CHCO_4263_GL_VRU_DF</t>
  </si>
  <si>
    <t>CARC_CHCO_4263_GL_VRU_ERR</t>
  </si>
  <si>
    <t>CARC_CHCO_4263_GL_VRU_NSF</t>
  </si>
  <si>
    <t>CARC_CHCO_4263_GL_VRU_TMO</t>
  </si>
  <si>
    <t>CARC_CHCO_4263_ARB</t>
  </si>
  <si>
    <t>CARC_CHCO_4263_ARM</t>
  </si>
  <si>
    <t>CARC_CHCO_4263_CAM</t>
  </si>
  <si>
    <t>CARC_CHCO_4263_CAN</t>
  </si>
  <si>
    <t>CARC_CHCO_4263_ENG</t>
  </si>
  <si>
    <t>CARC_CHCO_4263_FAR</t>
  </si>
  <si>
    <t>CARC_CHCO_4263_HMO</t>
  </si>
  <si>
    <t>CARC_CHCO_4263_KOR</t>
  </si>
  <si>
    <t>CARC_CHCO_4263_LAO</t>
  </si>
  <si>
    <t>CARC_CHCO_4263_MAN</t>
  </si>
  <si>
    <t>CARC_CHCO_4263_RUS</t>
  </si>
  <si>
    <t>CARC_CHCO_4263_SPA</t>
  </si>
  <si>
    <t>CARC_CHCO_4263_TAG</t>
  </si>
  <si>
    <t>CARC_CHCO_4263_VTM</t>
  </si>
  <si>
    <t>QUEUE_NUMBER</t>
  </si>
  <si>
    <t>QUEUE_NAME</t>
  </si>
  <si>
    <t>QUEUE_TYPE</t>
  </si>
  <si>
    <t>UNIT_OF_WORK_NAME</t>
  </si>
  <si>
    <t>PROJECT_NAME</t>
  </si>
  <si>
    <t>PROGRAM_NAME</t>
  </si>
  <si>
    <t>RECORD_EFF_DT</t>
  </si>
  <si>
    <t>RECORD_END_DT</t>
  </si>
  <si>
    <t>ACD_ARG_ID_INC</t>
  </si>
  <si>
    <t>select 'PP 1' as TestNumber, acd_interval_id, si.interval_start_date, contact_queue_id 
from CC_S_ACD_INTERVAL ai inner join cc_s_interval si on ai.interval_id = si.interval_id
where contact_queue_id = 0 order by si.interval_start_date desc;</t>
  </si>
  <si>
    <t>select 'PP 2' as test_num, f.f_call_center_actls_intrvl_id, i.interval_start_time_of_day24, q.queue_name
from cc_f_actuals_queue_interval f
inner join cc_d_interval i on f.d_interval_id = i.d_interval_id 
inner join cc_d_contact_queue q on f.d_contact_queue_id = q.d_contact_queue_id where f.d_contact_queue_id = 0 
order by i.interval_start_date desc;</t>
  </si>
  <si>
    <t>select 'PP 3' as test_num, f.f_cc_acd_queue_intrvl_id, i.interval_start_time_of_day24, q.queue_name
from cc_f_acd_queue_interval f
inner join cc_d_interval i on f.d_interval_id = i.d_interval_id 
inner join cc_d_contact_queue q on f.d_contact_queue_id = q.d_contact_queue_id where f.d_contact_queue_id = 0 
order by i.interval_start_date desc;</t>
  </si>
  <si>
    <t>CD1</t>
  </si>
  <si>
    <t>Call Terminated in VM</t>
  </si>
  <si>
    <t>Find all calls that were terminated as voice mails</t>
  </si>
  <si>
    <t>On a specific day, all calls terminated in voicemail should match the calls in source</t>
  </si>
  <si>
    <t xml:space="preserve">select * from cc_s_term_call_vm
where interval_date = '2017-06-01 00:00:00';  select * from cc_f_term_call_vm
where d_date_id = 883 ;
</t>
  </si>
  <si>
    <t xml:space="preserve">Run control in Cisco ; </t>
  </si>
  <si>
    <t>FB20DA0A01E746C18BAC000000124578</t>
  </si>
  <si>
    <t>epVmail</t>
  </si>
  <si>
    <t>7B90DF9401E746C18EF8000000124578</t>
  </si>
  <si>
    <t>1FE999A201E746D19BF6000000124578</t>
  </si>
  <si>
    <t>EA44BD5601E746D1B621000000124578</t>
  </si>
  <si>
    <t>CEFDC36401E746D1B8DB000000124578</t>
  </si>
  <si>
    <t>9873FF0E01E746D19904000000124578</t>
  </si>
  <si>
    <t>BDC0687E01E746D1884B000000124578</t>
  </si>
  <si>
    <t>B2D43F6C01E746D182A6000000124578</t>
  </si>
  <si>
    <t>F5BCCAD201E746D19275000000124578</t>
  </si>
  <si>
    <t>4158DAD401E746D1A7A0000000124578</t>
  </si>
  <si>
    <t>9E33FF4801E74731BCBB000000124578</t>
  </si>
  <si>
    <t>A8AE563A01E74731AFA1000000124578</t>
  </si>
  <si>
    <t>D8BC09A801E7473188C4000000124578</t>
  </si>
  <si>
    <t>5141011201E747319A69000000124578</t>
  </si>
  <si>
    <t>763AE37001E74731A000000000124578</t>
  </si>
  <si>
    <t>5BCB27A201E747319BFB000000124578</t>
  </si>
  <si>
    <t>E3BA729801E747319E98000000124578</t>
  </si>
  <si>
    <t>A1465A4C01E74731B627000000124578</t>
  </si>
  <si>
    <t>7F9C953A01E74731842F000000124578</t>
  </si>
  <si>
    <t>70D92ADA01E74731A0B5000000124578</t>
  </si>
  <si>
    <t>FCDC20A001E74731B7B7000000124578</t>
  </si>
  <si>
    <t>824B101601E7474190F4000000124578</t>
  </si>
  <si>
    <t>87412CD801E74741B069000000124578</t>
  </si>
  <si>
    <t>119D781801E746C1845A000000124578</t>
  </si>
  <si>
    <t>5B0F67EA01E746C19CAF000000124578</t>
  </si>
  <si>
    <t>B1BC8CB401E746D18286000000124578</t>
  </si>
  <si>
    <t>9C9734D201E746D19BE3000000124578</t>
  </si>
  <si>
    <t>4954B6B601E746D1818C000000124578</t>
  </si>
  <si>
    <t>B993F0BC01E746D18BB0000000124578</t>
  </si>
  <si>
    <t>153FF14C01E74701A130000000124578</t>
  </si>
  <si>
    <t>F28FD10201E747218559000000124578</t>
  </si>
  <si>
    <t>1BB8872C01E74721ADAC000000124578</t>
  </si>
  <si>
    <t>386E26C401E74721B599000000124578</t>
  </si>
  <si>
    <t>3ECCF8AA01E747219EC0000000124578</t>
  </si>
  <si>
    <t>99CB231201E7472194BF000000124578</t>
  </si>
  <si>
    <t>6C85526A01E747219E85000000124578</t>
  </si>
  <si>
    <t>DE3469F001E74721B117000000124578</t>
  </si>
  <si>
    <t>1D2C8C8C01E74721B39D000000124578</t>
  </si>
  <si>
    <t>4B87861801E7472192AB000000124578</t>
  </si>
  <si>
    <t>492A0C9C01E74721949A000000124578</t>
  </si>
  <si>
    <t>A1CD09E401E74721A4A7000000124578</t>
  </si>
  <si>
    <t>A371E63A01E74721AFD0000000124578</t>
  </si>
  <si>
    <t>E2EE3FF401E74721A3C1000000124578</t>
  </si>
  <si>
    <t>85E85ADC01E74721BD4B000000124578</t>
  </si>
  <si>
    <t>94FA569601E74731880B000000124578</t>
  </si>
  <si>
    <t>8D24F9E401E74731B047000000124578</t>
  </si>
  <si>
    <t>318540FC01E7473184DB000000124578</t>
  </si>
  <si>
    <t>F9D3A58001E74731AAA8000000124578</t>
  </si>
  <si>
    <t>0020BC2001E74731B741000000124578</t>
  </si>
  <si>
    <t>A499E2F401E747319620000000124578</t>
  </si>
  <si>
    <t>1933533001E746C18C01000000124578</t>
  </si>
  <si>
    <t>4D8E572801E746D1BF5B000000124578</t>
  </si>
  <si>
    <t>D3F7F6D801E746D1A652000000124578</t>
  </si>
  <si>
    <t>D6FD70FC01E746D18A59000000124578</t>
  </si>
  <si>
    <t>2377B21C01E746D18A87000000124578</t>
  </si>
  <si>
    <t>98A78B2401E74721966C000000124578</t>
  </si>
  <si>
    <t>B7B233A201E74721BBC1000000124578</t>
  </si>
  <si>
    <t>3364960201E74721A276000000124578</t>
  </si>
  <si>
    <t>0E193EB601E74721A5FD000000124578</t>
  </si>
  <si>
    <t>2B0286B801E74721BB75000000124578</t>
  </si>
  <si>
    <t>6C7E993801E74721A4D3000000124578</t>
  </si>
  <si>
    <t>5C570F4001E747218827000000124578</t>
  </si>
  <si>
    <t>80BFFC9801E7472198B5000000124578</t>
  </si>
  <si>
    <t>75F5877E01E74721A7C9000000124578</t>
  </si>
  <si>
    <t>BE135C2A01E747219482000000124578</t>
  </si>
  <si>
    <t>DF9C1ADA01E7472188C8000000124578</t>
  </si>
  <si>
    <t>E965167A01E747218484000000124578</t>
  </si>
  <si>
    <t>254C87D601E74721955C000000124578</t>
  </si>
  <si>
    <t>7F7F97AC01E74721A317000000124578</t>
  </si>
  <si>
    <t>52918E1601E74721A2D3000000124578</t>
  </si>
  <si>
    <t>F40DAA3201E74691831B000000124578</t>
  </si>
  <si>
    <t>A2708C7C01E746B1A6BF000000124578</t>
  </si>
  <si>
    <t>5BA25E0001E746C1BC7A000000124578</t>
  </si>
  <si>
    <t>1BC2ABC601E746D187D4000000124578</t>
  </si>
  <si>
    <t>579DD3C001E746D19585000000124578</t>
  </si>
  <si>
    <t>F410953801E746D18AC5000000124578</t>
  </si>
  <si>
    <t>A8F4C25201E746D192BA000000124578</t>
  </si>
  <si>
    <t>DC16B9AA01E746D1B407000000124578</t>
  </si>
  <si>
    <t>11176E9C01E746D1A0C5000000124578</t>
  </si>
  <si>
    <t>22D43B1A01E746D1B8CD000000124578</t>
  </si>
  <si>
    <t>A0D2D03201E74741B860000000124578</t>
  </si>
  <si>
    <t>InteractionID</t>
  </si>
  <si>
    <t>Client</t>
  </si>
  <si>
    <t>MediaType</t>
  </si>
  <si>
    <t>submittedTime</t>
  </si>
  <si>
    <t>CompletedTime</t>
  </si>
  <si>
    <t>connID</t>
  </si>
  <si>
    <t>CRMActivityID</t>
  </si>
  <si>
    <t>INTERACTION_ID</t>
  </si>
  <si>
    <t>CLIENT</t>
  </si>
  <si>
    <t>MEDIA_TYPE</t>
  </si>
  <si>
    <t>SUBMITTED_TIME</t>
  </si>
  <si>
    <t>COMPLETED_TIME</t>
  </si>
  <si>
    <t>CONN_ID</t>
  </si>
  <si>
    <t>CRM_ACTIVITY_ID</t>
  </si>
  <si>
    <t>DATETIME</t>
  </si>
  <si>
    <t>INTERVAL_DATE</t>
  </si>
  <si>
    <t>CALL_TYPE_ID</t>
  </si>
  <si>
    <t>ACTIVITY_ID</t>
  </si>
  <si>
    <t>CD2</t>
  </si>
  <si>
    <t>Select 
  convert(varchar(10),DateTime,111) as Date
  ,cb.surrogateid as "ID"
  ,'MaxCAHCO' as "Client"
  ,cq.enterdatetime as "EnterDateTime"
  ,ce.eventdatetime as "EventDateTime"
  ,cq.leavedatetime as "LeaveDateTime"
  ,case when cq.enterdatetime is null then null else convert(datetime,SWITCHOFFSET(TODATETIMEOFFSET(cq.enterdatetime, -0), '-08:00')) end as "Submitted Time"
  ,coalesce(ce.EventTypeID, cb.EventTypeID) as "Status"
  ,coalesce(ev2.EventType, ev.EventType) as "Status Text"
  ,coalesce(ce.causeid, cb.causeid) as "Cause"
  ,coalesce(cause2.cause, cause.cause) as "Cause Text"
  ,p.LastName as "Last Name"
  ,p.FirstName as "First Name"
  ,Case when coalesce(ce.eventdatetime,cq.leavedatetime) is null then null else convert(datetime,SWITCHOFFSET(TODATETIMEOFFSET(coalesce(ce.eventdatetime,cq.leavedatetime), -0), '-08:00'))end as "Completed Time"
  ,cq.CallGUID as "Activity ID"
  ,tcd2.InstrumentPortNumber as "Extension" --Peripheral number = Agents phone Extension
  ,coalesce(tcd2.CallTypeID,tcd.CallTypeID) as "Call Type ID"
  ,coalesce(ct2.EnterpriseName,ct.EnterpriseName) as "Call Type"
  ,1000 as "TimeConversion"
  ,ag.PeripheralNumber as "Login ID"
from
  [CVPCallback].dbo.callback_current cb
  Left Join [CVPCallback].dbo.callbackqueue cq on cb.surrogateid = cq.surrogateid
  left outer join (select surrogateid, eventdatetime, EventTypeID, causeid, rank() OVER (PARTITION BY surrogateid order by eventdatetime) rnk
                                            from [CVPCallback].dbo.callbackevent 
                                            where EventTypeID = 24) ce on cb.surrogateid = ce.surrogateid
                                            and ce.rnk = 1--EventTypeID 24 = Completed
  left outer join (select RouterCallKeyDay, RouterCallKey, AgentSkillTargetID, InstrumentPortNumber, CallGUID, CallTypeID, convert(datetime,SWITCHOFFSET(TODATETIMEOFFSET(DateTime, -360), '-07:00')) DateTime,
                    rank() OVER (PARTITION BY RouterCallKeyDay, RouterCallKey order by RouterCallKeySequenceNumber, ICRCallKey) rnk
                                              from [maxco_hds].dbo.Termination_Call_Detail
                                              where DateTime &gt;= convert(varchar(10),'2017-05-09 04:30:00',111)
                                              and DateTime &lt;= convert(varchar(10),'2017-05-10 00:00:00',111)
                                              and RouterCallKeyDay+RouterCallKey &lt;&gt;0
                                              and CallGUID is not null) tcd on cq.CallGUID COLLATE SQL_Latin1_General_CP1_CI_AS = tcd.CallGUID 
                                              and tcd.rnk = 1
  left outer join (select RouterCallKeyDay, RouterCallKey, AgentSkillTargetID, InstrumentPortNumber, CallGUID, CallTypeID,
rank() OVER (PARTITION BY RouterCallKeyDay, RouterCallKey order by RouterCallKeySequenceNumber,ICRCallKey) rnk
                                              from [maxco_hds].dbo.Termination_Call_Detail
                                              where DateTime &gt;= convert(varchar(10),'2017-05-09 04:30:00',111)
                                              and DateTime &lt;= convert(varchar(10),'2017-05-10 00:00:00',111)
                                              and RouterCallKeyDay+RouterCallKey &lt;&gt;0
                                              and PeripheralCallType = 2
                                              and AgentSkillTargetID is not null) tcd2 on tcd.RouterCallKey = tcd2.RouterCallKey and tcd.RouterCallKeyDay = tcd2.RouterCallKeyDay
                                              and tcd2.rnk = 1 
  left outer join [CVPApps].dbo.CauseRef cause on cb.causeid = cause.causeid
  left outer join [CVPApps].dbo.CauseRef cause2 on ce.causeid = cause2.causeid
  left outer join [CVPApps].dbo.EventTypeRef ev on cb.EventTypeID = ev.EventTypeID
  left outer join [CVPApps].dbo.EventTypeRef ev2 on ce.EventTypeID = ev2.EventTypeID
  left outer join [maxco_hds].dbo.Agent ag on tcd2.AgentSkillTargetID = ag.SkillTargetID
  left outer join [maxco_hds].dbo.Person p on ag.PersonID = p.PersonID
  left outer join [maxco_hds].dbo.Call_Type ct on tcd.CallTypeID = ct.CallTypeID
  left outer join [maxco_hds].dbo.Call_Type ct2 on tcd2.CallTypeID = ct2.CallTypeID
where cb.dbdatetime &gt;= convert(varchar(10),'2017-05-09 04:30:00',111)
and cb.dbdatetime &lt;= convert(varchar(10),'2017-05-10 00:00:00',111)
and ct.EnterpriseName like 'CAR%'
;</t>
  </si>
  <si>
    <t>Calculate the duration (in time) between when a call terminated having requested a courtesy call back and when the caller received a call back from the program</t>
  </si>
  <si>
    <t>On a specific day</t>
  </si>
  <si>
    <t>Callback Complete</t>
  </si>
  <si>
    <t>8346544A01E734F184FB000000124578</t>
  </si>
  <si>
    <t>310D944201E734F18151000000124578</t>
  </si>
  <si>
    <t>73AAEF2001E734D1BF2E000000124578</t>
  </si>
  <si>
    <t>4CF12D1601E734F190DD000000124578</t>
  </si>
  <si>
    <t>6988A75E01E734F1AEB6000000124578</t>
  </si>
  <si>
    <t>9D2F051E01E734F19E18000000124578</t>
  </si>
  <si>
    <t>16049D6401E734F18B59000000124578</t>
  </si>
  <si>
    <t>8152011601E734F1801F000000124578</t>
  </si>
  <si>
    <t>Cindy</t>
  </si>
  <si>
    <t>Li</t>
  </si>
  <si>
    <t>88CD3E6E01E734F197B2000000124578</t>
  </si>
  <si>
    <t>Cecelia</t>
  </si>
  <si>
    <t>Castillo</t>
  </si>
  <si>
    <t>B9E1308001E734F19F39000000124578</t>
  </si>
  <si>
    <t>Paul</t>
  </si>
  <si>
    <t>Kim</t>
  </si>
  <si>
    <t>C3CF9D1C01E734D18DF3000000124578</t>
  </si>
  <si>
    <t>SURROGATE_ID</t>
  </si>
  <si>
    <t>CALL_BACK_TIME</t>
  </si>
  <si>
    <t>STATUS</t>
  </si>
  <si>
    <t>ENTER_DATETIME</t>
  </si>
  <si>
    <t>EVENT_DATETIME</t>
  </si>
  <si>
    <t>LEAVE_DATETIME</t>
  </si>
  <si>
    <t>STATUS_TEXT</t>
  </si>
  <si>
    <t>FIRST_NAME</t>
  </si>
  <si>
    <t>LAST_NAME</t>
  </si>
  <si>
    <t>CAUSE_ID</t>
  </si>
  <si>
    <t>select surrogate_id, call_back_date, client, enter_datetime, event_datetime, leave_datetime,call_back_time, status, status_text, first_name, last_name, cause_id, activity_id, queue_number, queue_name from cc_hco_s_call_back
where call_back_date = '2017-05-09 00:00:00';</t>
  </si>
  <si>
    <t>MaxCAHCO</t>
  </si>
  <si>
    <t>No Response</t>
  </si>
  <si>
    <t>Connected</t>
  </si>
  <si>
    <t>No Answer</t>
  </si>
  <si>
    <t>Error</t>
  </si>
  <si>
    <t>ID</t>
  </si>
  <si>
    <t>EnterDateTime</t>
  </si>
  <si>
    <t>EventDateTime</t>
  </si>
  <si>
    <t>LeaveDateTime</t>
  </si>
  <si>
    <t>Submitted Time</t>
  </si>
  <si>
    <t>Status</t>
  </si>
  <si>
    <t>Status Text</t>
  </si>
  <si>
    <t>Cause</t>
  </si>
  <si>
    <t>Cause Text</t>
  </si>
  <si>
    <t>Last Name</t>
  </si>
  <si>
    <t>First Name</t>
  </si>
  <si>
    <t>Completed Time</t>
  </si>
  <si>
    <t>Activity ID</t>
  </si>
  <si>
    <t xml:space="preserve">Extension </t>
  </si>
  <si>
    <t>Call Type ID</t>
  </si>
  <si>
    <t>Call Type</t>
  </si>
  <si>
    <t>TimeConversion</t>
  </si>
  <si>
    <t>Login ID</t>
  </si>
  <si>
    <t>Calls terminated into VM for the interval</t>
  </si>
  <si>
    <t>Calls terminated into VM daily</t>
  </si>
  <si>
    <t>Calls terminated into VM hourly</t>
  </si>
  <si>
    <t>Calls Terminated into VM monthly</t>
  </si>
  <si>
    <t>select CC_D_CONTACT_QUEUE.D_PROJECT_ID, CC_D_CONTACT_QUEUE.D_PROGRAM_ID, CC_D_INTERVAL.D_INTERVAL_ID, count(*)
from cc_f_term_call_vm 
INNER JOIN CC_D_INTERVAL ON CC_F_TERM_CALL_VM.D_INTERVAL_ID = CC_D_INTERVAL.D_INTERVAL_ID
INNER JOIN CC_D_CONTACT_QUEUE ON CC_F_TERM_CALL_VM.D_CONTACT_QUEUE_ID = CC_D_CONTACT_QUEUE.D_CONTACT_QUEUE_ID
group by CC_D_CONTACT_QUEUE.D_PROJECT_ID, CC_D_CONTACT_QUEUE.D_PROGRAM_ID, CC_D_INTERVAL.D_INTERVAL_ID;</t>
  </si>
  <si>
    <t>select CC_D_CONTACT_QUEUE.D_PROJECT_ID, CC_D_CONTACT_QUEUE.D_PROGRAM_ID, CC_F_TERM_CALL_VM.d_date_id, count(*)
from cc_f_term_call_vm 
INNER JOIN CC_D_CONTACT_QUEUE ON CC_F_TERM_CALL_VM.D_CONTACT_QUEUE_ID = CC_D_CONTACT_QUEUE.D_CONTACT_QUEUE_ID
group by CC_D_CONTACT_QUEUE.D_PROJECT_ID, CC_D_CONTACT_QUEUE.D_PROGRAM_ID, CC_F_TERM_CALL_VM.d_date_id;</t>
  </si>
  <si>
    <t>select CC_D_CONTACT_QUEUE.D_PROJECT_ID, CC_D_CONTACT_QUEUE.D_PROGRAM_ID, CC_F_TERM_CALL_VM.d_date_id, CC_D_INTERVAL.interval_start_hour, count(*)
from cc_f_term_call_vm 
INNER JOIN CC_D_INTERVAL ON CC_F_TERM_CALL_VM.D_INTERVAL_ID = CC_D_INTERVAL.D_INTERVAL_ID
INNER JOIN CC_D_CONTACT_QUEUE ON CC_F_TERM_CALL_VM.D_CONTACT_QUEUE_ID = CC_D_CONTACT_QUEUE.D_CONTACT_QUEUE_ID
GROUP BY  CC_D_CONTACT_QUEUE.D_PROJECT_ID, CC_D_CONTACT_QUEUE.D_PROGRAM_ID, CC_F_TERM_CALL_VM.d_date_id, CC_D_INTERVAL.interval_start_hour;</t>
  </si>
  <si>
    <t>select CC_D_CONTACT_QUEUE.D_PROJECT_ID, CC_D_CONTACT_QUEUE.D_PROGRAM_ID, CC_D_DATES.d_month_name, CC_D_DATES.d_month_num, CC_D_DATES.d_year, count(*)
from cc_f_term_call_vm 
INNER JOIN CC_D_DATES ON CC_F_TERM_CALL_VM.D_DATE_ID = CC_D_DATES.D_DATE_ID
INNER JOIN CC_D_CONTACT_QUEUE ON CC_F_TERM_CALL_VM.D_CONTACT_QUEUE_ID = CC_D_CONTACT_QUEUE.D_CONTACT_QUEUE_ID
group by CC_D_CONTACT_QUEUE.D_PROJECT_ID, CC_D_CONTACT_QUEUE.D_PROGRAM_ID, CC_D_DATES.d_month_name, CC_D_DATES.d_month_num, CC_D_DATES.d_year;</t>
  </si>
  <si>
    <t>CD3</t>
  </si>
  <si>
    <t>select 
 CallTypeID
,CallDisposition
, AgentSkillTargetID
,DateTime
,CallReferenceID 
,TalkTime
,HoldTime
,DNIS
,RouterCallKey as "Sequence"
,NetworkSkillGroupQTime as "Queue Time"
,NetQTime as "IVR Time"
,'MAXCAHCO' as "account"
,'Vcall' as "media"
,ANI as "First_phone"
,RingTime as "RingingTime"
,case when CallGUID is null then Variable1 else CallGUID end as ActivityID
,WorkTime as "AfterCallWork"
,TimeToAband  -- added this to correct the abandon flag logic
,Duration
,'N' as "Voicemail_Flag"
,cast(SWITCHOFFSET(TODATETIMEOFFSET(DateTime, -TimeZone), '-00:00') as datetime)  AS UTC_DATE
,case when TalkTime &gt;0 then 1 else 0 end as "Answered"
,case when TimeToAband &gt; 0 then 1 else 0 end as "Abandoned"
--,(SELECT COALESCE((select lookup_value from cc_c_lookup where lookup_type = 'LANGUAGE_CODE' and lookup_key = CallTypeID), 'UNKNOWN') from dual) "LanguageCode"
--,(SELECT COALESCE((SELECT lookup_value from cc_c_lookup where lookup_type = 'DISPOSITION_CODE' and lookup_key = CallDisposition), 'UNKNOWN') from dual) "Disposition"
,case when TalkTime &gt;0 and CallDisposition in ('28','29') then 1 else 0 end as "TransferOut"
from Termination_Call_Detail
WHERE DateTime &gt;= convert(varchar(10),'2017-06-02 00:00:00',111)
and DateTime &lt; convert(varchar(10),'2017-06-03 00:00:00',111)
and
CallTypeID in (
6117)
and SUBSTRING (DNIS, 1, 3) not in ('777')   
and SUBSTRING(DNIS, 1, 3) not in ('800','866','888') 
and TalkTime &gt; 0 order by CallReferenceID;</t>
  </si>
  <si>
    <t>Validating only inbound calls; outbound calls are not configured by Telecom</t>
  </si>
  <si>
    <t xml:space="preserve">select * from cc_s_call_detail
where call_date &gt;= '02-JUN-17'
and queue_number = 6117
order by call_reference_id ; or select * from cc_f_call
where d_date_id = 884
and d_contact_queue_id = 118;
</t>
  </si>
  <si>
    <t>Facts</t>
  </si>
  <si>
    <t>HANDLED</t>
  </si>
  <si>
    <t>R</t>
  </si>
  <si>
    <t>N</t>
  </si>
  <si>
    <t>000000000032D7310A41F6EA00000000</t>
  </si>
  <si>
    <t>27FD385E01E747B19811000000124578</t>
  </si>
  <si>
    <t>000000000035AF0C09428DAA00000000</t>
  </si>
  <si>
    <t>9C91D4F001E747A1AF20000000124578</t>
  </si>
  <si>
    <t>000000000035BB440942B53E00000000</t>
  </si>
  <si>
    <t>A60A6A2401E747B19820000000124578</t>
  </si>
  <si>
    <t>ABANDONED</t>
  </si>
  <si>
    <t>000000000035C7970942DCA600000000</t>
  </si>
  <si>
    <t>0B3BBB8201E747C19697000000124578</t>
  </si>
  <si>
    <t>000000000035CD340942EE9100000000</t>
  </si>
  <si>
    <t>23B82EE601E747D1B147000000124578</t>
  </si>
  <si>
    <t>000000000037D1C80544D52600000000</t>
  </si>
  <si>
    <t>1325AA3601E747A1A322000000124578</t>
  </si>
  <si>
    <t>CONFERENCED</t>
  </si>
  <si>
    <t>000000000037EABB0545268300000000</t>
  </si>
  <si>
    <t>26593FA001E747C18C7B000000124578</t>
  </si>
  <si>
    <t>000000000037F2890545402200000000</t>
  </si>
  <si>
    <t>E3D7247001E747E1AFF1000000124578</t>
  </si>
  <si>
    <t>00000000003876ED0647DAEA00000000</t>
  </si>
  <si>
    <t>4C43269601E747B19F95000000124578</t>
  </si>
  <si>
    <t>0000000000387E6B0647F3EA00000000</t>
  </si>
  <si>
    <t>E4B7EF2E01E747B1B863000000124578</t>
  </si>
  <si>
    <t>00000000003882F9064802BF00000000</t>
  </si>
  <si>
    <t>15AFC48C01E747C18508000000124578</t>
  </si>
  <si>
    <t>00000000003A42410745710700000000</t>
  </si>
  <si>
    <t>4A6AC23601E747B1B6B1000000124578</t>
  </si>
  <si>
    <t>00000000003A43510745748300000000</t>
  </si>
  <si>
    <t>43330F7201E747B1B568000000124578</t>
  </si>
  <si>
    <t>00000000003A54CA0745AD1C00000000</t>
  </si>
  <si>
    <t>DB43173201E747D1A8B5000000124578</t>
  </si>
  <si>
    <t>00000000003A55510745AECC00000000</t>
  </si>
  <si>
    <t>97EA02B001E747E18590000000124578</t>
  </si>
  <si>
    <t>UNKNOWN</t>
  </si>
  <si>
    <t>00000000003C42BE04464E4300000000</t>
  </si>
  <si>
    <t>2197C46E01E747A18939000000124578</t>
  </si>
  <si>
    <t>00000000003C4F900446786100000000</t>
  </si>
  <si>
    <t>ED5DFAC801E747C19EF9000000124578</t>
  </si>
  <si>
    <t>00000000003C5AAA04469C2100000000</t>
  </si>
  <si>
    <t>B7586AAC01E747D1B3C0000000124578</t>
  </si>
  <si>
    <t>00000000003F3B400343809100000000</t>
  </si>
  <si>
    <t>870E029601E747A18457000000124578</t>
  </si>
  <si>
    <t>00000000003F52310343BBD100000000</t>
  </si>
  <si>
    <t>3FB03FA201E747C1B79D000000124578</t>
  </si>
  <si>
    <t>00000000003F61330343E45100000000</t>
  </si>
  <si>
    <t>FABA6F1E01E747E19CAD000000124578</t>
  </si>
  <si>
    <t>00000000004D2ED708616D7600000000</t>
  </si>
  <si>
    <t>109B88F601E747D1A977000000124578</t>
  </si>
  <si>
    <t>D_AGENT_ID</t>
  </si>
  <si>
    <t>AGENT_LOGIN_ID</t>
  </si>
  <si>
    <t>CALL_DATE</t>
  </si>
  <si>
    <t>CALL_SEGMENT_ID</t>
  </si>
  <si>
    <t>SOURCE_CALL_ID</t>
  </si>
  <si>
    <t>DNIS</t>
  </si>
  <si>
    <t>DISPOSITION</t>
  </si>
  <si>
    <t>TRANSFER_TO</t>
  </si>
  <si>
    <t>CALL_SEGMENT_END_DT</t>
  </si>
  <si>
    <t>LANGUAGE</t>
  </si>
  <si>
    <t>ANI_PHONE_NUMBER</t>
  </si>
  <si>
    <t>QUEUE_TIME_SECONDS</t>
  </si>
  <si>
    <t>RING_TIME_SECONDS</t>
  </si>
  <si>
    <t>HOLD_TIME_SECONDS</t>
  </si>
  <si>
    <t>AFTER_CALL_WORK_SECONDS</t>
  </si>
  <si>
    <t>TALK_TIME_SECONDS</t>
  </si>
  <si>
    <t>IVR_TIME_SECONDS</t>
  </si>
  <si>
    <t>XFERRED_OUT_FLAG</t>
  </si>
  <si>
    <t>VOICEMAIL_FLAGE</t>
  </si>
  <si>
    <t>CALL_ABANDONED_FLAG</t>
  </si>
  <si>
    <t>CALL_REFERENCE_ID</t>
  </si>
  <si>
    <t>CALL_DURATION</t>
  </si>
  <si>
    <t>ROUTER_SEQUENCE</t>
  </si>
  <si>
    <t>CALL_OFFERED_FLAG</t>
  </si>
  <si>
    <t>CALL_ANSWERED_FLAG</t>
  </si>
  <si>
    <t>Staging</t>
  </si>
  <si>
    <t>Inbound</t>
  </si>
  <si>
    <t>CALL_DETAIL_ID</t>
  </si>
  <si>
    <t>CALL_TYPE</t>
  </si>
  <si>
    <t>AGENT_ID</t>
  </si>
  <si>
    <t>AFTER_WORK_CALL_SECONDS</t>
  </si>
  <si>
    <t>VOICEMAIL_FLAG</t>
  </si>
  <si>
    <t>Control Query</t>
  </si>
  <si>
    <t>MAXCAHCO</t>
  </si>
  <si>
    <t>Vcall</t>
  </si>
  <si>
    <t>CallDisposition</t>
  </si>
  <si>
    <t>AgentSkillTargetID</t>
  </si>
  <si>
    <t>CallReferenceID</t>
  </si>
  <si>
    <t>Sequence</t>
  </si>
  <si>
    <t>QueueTime</t>
  </si>
  <si>
    <t>IVRTime</t>
  </si>
  <si>
    <t>account</t>
  </si>
  <si>
    <t>media</t>
  </si>
  <si>
    <t>First_phone</t>
  </si>
  <si>
    <t>RingingTime</t>
  </si>
  <si>
    <t>ActivityID</t>
  </si>
  <si>
    <t>AfterCallWork</t>
  </si>
  <si>
    <t>TimeToAband</t>
  </si>
  <si>
    <t>Duration</t>
  </si>
  <si>
    <t>Voicemail_Flag</t>
  </si>
  <si>
    <t>UTC_Date</t>
  </si>
  <si>
    <t>Answered</t>
  </si>
  <si>
    <t>Abandoned</t>
  </si>
  <si>
    <t>TransferOut</t>
  </si>
  <si>
    <t>CD4</t>
  </si>
  <si>
    <t>Transfer to CSR</t>
  </si>
  <si>
    <t>CARC_CHCO_MENU_NEW</t>
  </si>
  <si>
    <t>CARC_FLG_CSR_MMENU</t>
  </si>
  <si>
    <t>IVR_MENU_GROUP_ID</t>
  </si>
  <si>
    <t>PROJECT_CONFIG_ID</t>
  </si>
  <si>
    <t>IVR_MENU_GROUP_NAME</t>
  </si>
  <si>
    <t>IVR_MENU_NAME</t>
  </si>
  <si>
    <t>IVR_SUB_MENU_NAME</t>
  </si>
  <si>
    <t>CALL_COUNT</t>
  </si>
  <si>
    <t>with t1 as 
 ( 
 select DBDateTime as dates, AppName as app, ElementName as ele, sum(count) as cnt 
 from CVPApps.dbo.ApplicationSummary_Daily 
 where 
    DBDateTime &gt;= convert(varchar(10),'2017/05/30 00:00:00',111)
 AND DbDateTime &lt; convert(varchar(10),'2017/05/31 00:00:00',111)
 group by DBDateTime, AppName, ElementName 
 union all 
 select DBDateTime as dates, AppName as app, ElementName as ele, sum(count) as cnt 
 from CVPApps_B.dbo.ApplicationSummary_Daily 
 where 
    DBDateTime &gt;= convert(varchar(10),'2017/05/30 00:00:00',111)
 AND DbDateTime &lt; convert(varchar(10),'2017/05/31 00:00:00',111)
 group by DBDateTime, AppName, ElementName 
 ) 
 select t1.dates as "DBDateTime", t1.app as "AppName", t1.ele as "ElementName", sum(t1.cnt) as "Count" 
 from t1 
 where t1.app like 'CARC%'
 and t1.ele IN ('CARC_FLG_CHOICEFORM_ENROLLMENU',
'CARC_FLG_CSR_CHOICEMENU',
'CARC_FLG_CSR_CMENU',
'CARC_FLG_CSR_CSUBMENU',
'CARC_FLG_CSR_ENROLLMENU',
'CARC_FLG_CSR_ENROLLSUBMENU',
'CARC_FLG_CSR_FEEMENU',
'CARC_FLG_CSR_HCOMENU',
'CARC_FLG_CSR_MDMENU',
'CARC_FLG_CSR_MDSUBMENU',
'CARC_FLG_CSR_MMENU',
'CARC_FLG_CSR_PLANMENU',
'CARC_FLG_DENTI_CMENU',
'CARC_FLG_DENTREQ_MDMENU',
'CARC_FLG_ENROLL_ENROLLMENU',
'CARC_FLG_FEEINFO_ENROLLMENU',
'CARC_FLG_FH_CMENU',
'CARC_FLG_HCO_CMENU',
'CARC_FLG_HCO_ENROLLMENU',
'CARC_FLG_MEDREQ_MDMENU',
'CARC_FLG_MMCD_CMENU',
'CARC_FLG_MMENU_ENROLLMENU',
'CARC_FLG_PLANCHG_ENROLLMENU',
'CARC_FLG_REPEAT_CHOICEMENU',
'CARC_FLG_REPEAT_CSUBMENU',
'CARC_FLG_REPEAT_ENROLLSUBMENU',
'CARC_FLG_REPEAT_ESMENU',
'CARC_FLG_REPEAT_FEEMENU',
'CARC_FLG_REPEAT_HCOMENU',
'CARC_FLG_REPEAT_PLANMENU',
'CARC_FLG_RETURN_CHOICEMENU',
'CARC_FLG_RETURN_ENROLLSUBMENU',
'CARC_FLG_RETURN_FEEMENU',
'CARC_FLG_RETURN_HCOMENU',
'CARC_FLG_RETURN_PLANMENU',
'CARC_FLG_RETURNCM_CSUBMENU',
'CARC_FLG_RETURNMEDDENT_MDSUBMENU',
'CARC_FLG_RETURNMM_MDMENU',
'CARC_FLG_YES_MAILMENU')
 group by t1.dates, t1.app, t1.ele 
 order by 1,3;</t>
  </si>
  <si>
    <t>CARC_FLG_CHOICEFORM_ENROLLMENU</t>
  </si>
  <si>
    <t>CARC_FLG_CSR_CHOICEMENU</t>
  </si>
  <si>
    <t>CARC_FLG_CSR_CMENU</t>
  </si>
  <si>
    <t>CARC_FLG_CSR_CSUBMENU</t>
  </si>
  <si>
    <t>CARC_FLG_CSR_ENROLLMENU</t>
  </si>
  <si>
    <t>CARC_FLG_CSR_ENROLLSUBMENU</t>
  </si>
  <si>
    <t>CARC_FLG_CSR_FEEMENU</t>
  </si>
  <si>
    <t>CARC_FLG_CSR_HCOMENU</t>
  </si>
  <si>
    <t>CARC_FLG_CSR_MDMENU</t>
  </si>
  <si>
    <t>CARC_FLG_CSR_MDSUBMENU</t>
  </si>
  <si>
    <t>CARC_FLG_CSR_PLANMENU</t>
  </si>
  <si>
    <t>CARC_FLG_DENTI_CMENU</t>
  </si>
  <si>
    <t>CARC_FLG_DENTREQ_MDMENU</t>
  </si>
  <si>
    <t>CARC_FLG_ENROLL_ENROLLMENU</t>
  </si>
  <si>
    <t>CARC_FLG_FEEINFO_ENROLLMENU</t>
  </si>
  <si>
    <t>CARC_FLG_FH_CMENU</t>
  </si>
  <si>
    <t>CARC_FLG_HCO_CMENU</t>
  </si>
  <si>
    <t>CARC_FLG_HCO_ENROLLMENU</t>
  </si>
  <si>
    <t>CARC_FLG_MEDREQ_MDMENU</t>
  </si>
  <si>
    <t>CARC_FLG_MMCD_CMENU</t>
  </si>
  <si>
    <t>CARC_FLG_MMENU_ENROLLMENU</t>
  </si>
  <si>
    <t>CARC_FLG_PLANCHG_ENROLLMENU</t>
  </si>
  <si>
    <t>CARC_FLG_REPEAT_CHOICEMENU</t>
  </si>
  <si>
    <t>CARC_FLG_REPEAT_CSUBMENU</t>
  </si>
  <si>
    <t>CARC_FLG_REPEAT_ENROLLSUBMENU</t>
  </si>
  <si>
    <t>CARC_FLG_REPEAT_ESMENU</t>
  </si>
  <si>
    <t>CARC_FLG_REPEAT_FEEMENU</t>
  </si>
  <si>
    <t>CARC_FLG_REPEAT_HCOMENU</t>
  </si>
  <si>
    <t>CARC_FLG_REPEAT_PLANMENU</t>
  </si>
  <si>
    <t>CARC_FLG_RETURN_CHOICEMENU</t>
  </si>
  <si>
    <t>CARC_FLG_RETURN_ENROLLSUBMENU</t>
  </si>
  <si>
    <t>CARC_FLG_RETURN_FEEMENU</t>
  </si>
  <si>
    <t>CARC_FLG_RETURN_HCOMENU</t>
  </si>
  <si>
    <t>CARC_FLG_RETURN_PLANMENU</t>
  </si>
  <si>
    <t>CARC_FLG_RETURNCM_CSUBMENU</t>
  </si>
  <si>
    <t>CARC_FLG_RETURNMEDDENT_MDSUBMENU</t>
  </si>
  <si>
    <t>CARC_FLG_RETURNMM_MDMENU</t>
  </si>
  <si>
    <t>CARC_FLG_YES_MAILMENU</t>
  </si>
  <si>
    <t>DBDateTime</t>
  </si>
  <si>
    <t>AppName</t>
  </si>
  <si>
    <t>ElementName</t>
  </si>
  <si>
    <t>Count</t>
  </si>
  <si>
    <t>select * from cc_s_ivr_menu_group_date
where ivr_MENU_GROUP_NAME = 'Transfer to CSR'
and call_date = '30-MAY-17'; select * from cc_f_ivr_menu_group_date_sv
where d_date_id = (select d_date_id from cc_d_dates where d_date = '30-MAY-17')
and ivr_menu_group_name = 'Transfer to CSR';</t>
  </si>
  <si>
    <t>d_date_id</t>
  </si>
  <si>
    <t>d_project_id</t>
  </si>
  <si>
    <t>d_program_id</t>
  </si>
  <si>
    <t>ivr_menu_group_name</t>
  </si>
  <si>
    <t>ivr_call_count</t>
  </si>
  <si>
    <t>select CallTypeID, EnterpriseName, DateTimeStamp from maxco_awdb.dbo.Call_Type where CallTypeID in (6108,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
order by 1;</t>
  </si>
  <si>
    <t>select  CONVERT(varchar(11), i.DateTime, 101) as Date, t.CallTypeID, t.EnterpriseName, sum(i.CallsOffered) as Offered, sum(i.CallsHandled) as Handle, 
sum(i.CallsOffered) - sum(i.CallsHandled) as CalcAband, sum(i.TotalCallsAband) TotAband from maxco_awdb.dbo.Call_Type_Interval i 
inner join maxco_awdb.dbo.Call_Type t on t.CallTypeID = i.CallTypeID 
where CONVERT(varchar(11), i.DateTime, 101) &gt;= '06/01/2017' and CONVERT(varchar(11), i.DateTime, 101) &lt; '06/02/2017'  and i.CallTypeID in (6108,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group by  CONVERT(varchar(11), i.DateTime, 101), t.CallTypeID, t.EnterpriseName 
order by 2,1;</t>
  </si>
  <si>
    <t>select 'PP 4 etl' as test_num, s.interval_date, q.queue_number, q.queue_name, sum(s.contacts_offered) as offered, sum(s.contacts_handled) as handle,
sum(s.contacts_abandoned) as abandon
from cc_s_acd_interval s inner join cc_s_contact_queue q on q.contact_queue_id = s.contact_queue_id
where 
s.interval_date = '01-JUN-17'  and 
q.queue_number in(6106,
6107,
6108,
6109,
6110,
6111,
6112,
6113,
6114,
6115,
6116,
6117,
6118,
6119,
6120,
6121,
6122,
6123,
6124,
6125,
6126,
6127,
6132,
6133,
6139,
6140,
6141,
6142,
6143,
6144,
6145,
6146,
6147,
6148,
6149,
6150,
6152,
6221,
6222,
6223,
6224,
6225,
6586,
6587,
6588,
6589,
6590,
6591,
6592,
6593,
6594,
6595,
6596,
6597,
6598,
6599)
group by 'PP 4 etl', s.interval_date, q.queue_number, q.queue_name order by 3,2;</t>
  </si>
  <si>
    <t>select testnumber, interval_date, sum(offered), sum(handle_abandon), sum(sysout), sum(diff), round((sum(diff)/sum(offered))*100,2) as error_rate_day from 
(select mainc.*, offered - handle_abandon - sysout as diff from (
select 'RV 7' as TestNumber, ai.interval_date, cq.queue_name, cq.queue_number,sum(ai.contacts_offered) as offered, sum(ai.contacts_handled)+
      sum(ai.contacts_abandoned) as handle_abandon, sum(ai.icr_default_routed) + sum(ai.network_default_routed) + sum(ai.return_busy) + sum(ai.calls_rona) + 
      sum(ai.return_release) + sum(ai.calls_routed_non_agent) + sum(ai.error_count) + sum(ai.agent_error_count) + sum(ai.outflow_contacts) + sum(ai.return_ring) +
      sum(ai.incomplete_calls) + sum(calls_given_force_disconnect) + sum(calls_given_route_to) + sum(short_abandons) as sysout
from cc_s_acd_interval ai
inner join cc_s_contact_queue cq on ai.contact_queue_id = cq.contact_queue_id where 
--ai.interval_date &gt;= '13-Jan-2016'
--and 
cq.queue_number in (6106,
6107,
6108,
6109,
6110,
6111,
6112,
6113,
6114,
6115,
6116,
6117,
6118,
6119,
6120,
6121,
6122,
6123,
6124,
6125,
6126,
6127,
6132,
6133,
6139,
6140,
6141,
6142,
6143,
6144,
6145,
6146,
6147,
6148,
6149,
6150,
6152,
6221,
6222,
6223,
6224,
6225,
6586,
6587,
6588,
6589,
6590,
6591,
6592,
6593,
6594,
6595,
6596,
6597,
6598,
6599)
and cq.queue_name like 'CARC%'
group by 'RV 7', ai.interval_date, cq.queue_name,cq.queue_number order by ai.interval_date, cq.queue_number ) mainc
where mainc.offered &lt;&gt; mainc.handle_abandon + mainc.sysout order by interval_date, queue_name)group by testnumber, interval_date
order by testnumber, interval_date ;</t>
  </si>
  <si>
    <t>select 
  'PP17' as TestNumber
  , f.f_call_center_actls_intrvl_id as int_id
  , d.d_date
  , cq.queue_name
  , service_level_answered_count as sla_count
  , speed_of_answer_period_1 as P1
  , speed_of_answer_period_1 + speed_of_answer_period_2 as P1_2
  , speed_of_answer_period_1 + speed_of_answer_period_2 + speed_of_answer_period_3 as P1_3
  , speed_of_answer_period_1 + speed_of_answer_period_2 + speed_of_answer_period_3 + speed_of_answer_period_4 as P1_4
  , speed_of_answer_period_1 + speed_of_answer_period_2 + speed_of_answer_period_3 + speed_of_answer_period_4 + speed_of_answer_period_5 as P1_5
  , speed_of_answer_period_1 + speed_of_answer_period_2 + speed_of_answer_period_3 + speed_of_answer_period_4 + speed_of_answer_period_5 + speed_of_answer_period_6 as P1_6
  , speed_of_answer_period_1 + speed_of_answer_period_2 + speed_of_answer_period_3 + speed_of_answer_period_4 + speed_of_answer_period_5 + speed_of_answer_period_6 + speed_of_answer_period_7 as P1_7
  , speed_of_answer_period_1 + speed_of_answer_period_2 + speed_of_answer_period_3 + speed_of_answer_period_4 + speed_of_answer_period_5 + speed_of_answer_period_6 + speed_of_answer_period_7 + speed_of_answer_period_8 as P1_8
  , speed_of_answer_period_1 + speed_of_answer_period_2 + speed_of_answer_period_3 + speed_of_answer_period_4 + speed_of_answer_period_5 + speed_of_answer_period_6 + speed_of_answer_period_7 + speed_of_answer_period_8 +speed_of_answer_period_9 as P1_9
  , speed_of_answer_period_1 + speed_of_answer_period_2 + speed_of_answer_period_3 + speed_of_answer_period_4 + speed_of_answer_period_5 + speed_of_answer_period_6 + speed_of_answer_period_7 + speed_of_answer_period_8 +speed_of_answer_period_9 + speed_of_answer_period_10 as P1_10
from  cc_f_actuals_queue_interval f 
inner join cc_d_dates d on f.d_date_id = d.d_date_id
inner join cc_d_contact_queue cq on  cq.d_contact_queue_id = f.d_contact_queue_id
where-- d.d_date &gt;= '13-Jan-2016' 
--and 
cq.queue_number in (6108,6109,
6110,
6111,
6112,
6113,
6114,
6115,
6117,
6118,
6119,
6120,
6121,
6122,
6123,
6124,
6125,
6127,
6132,
6133,
6139,
6140,
6141,
6142,
6143,
6144,
6145,
6146,
6147,
6148,
6149,
6150,
6126,
6152,
6221,
6222,
6223,
6224,
6225,
6106,
6107,
6116,
6586,
6587,
6588,
6589,
6590,
6591,
6592,
6593,
6594,
6595,
6596,
6597,
6598,
6599
)
and   service_level_answered_count &gt; 0
and   service_level_answered_count &lt;&gt; speed_of_answer_period_1 + speed_of_answer_period_2 + speed_of_answer_period_3 -- this needs to be reviewed for the project logic may need to change
order by d.d_date desc;</t>
  </si>
  <si>
    <t>select testnumber,interval_date,queue_name,contacts_handled, 
       (soa1 + soa2 + soa3 + soa4 + soa5 + soa6 + soa7 + soa8 + soa9 + soa10) as speed_of_answer,
       (so1 + so2 + so3 + so4 + so5 + so6 + so7 + so8 + so9 + so10 + so11) as sysout, contacts_handled - (soa1 + soa2 + soa3 + soa4 + soa5 + soa6 + soa7 + soa8 + soa9 + soa10) as diff
from (select 'PP 16' as TestNumber, ai.interval_date, cq.queue_name, sum(contacts_handled) as contacts_handled,
       sum(speed_of_answer_period_1) as soa1,sum(speed_of_answer_period_2) as soa2,sum(speed_of_answer_period_3) as soa3,
       sum(speed_of_answer_period_4) as soa4,sum(speed_of_answer_period_5) as soa5,sum(speed_of_answer_period_6) as soa6, 
       sum(speed_of_answer_period_7) as soa7,sum(speed_of_answer_period_8) as soa8,sum(speed_of_answer_period_9) as soa9,
       sum(speed_of_answer_period_10) as soa10, sum(icr_default_routed) as so1, sum(network_default_routed) as so2 
       , sum(return_busy) as so3 , sum(calls_rona) as so4 , sum(return_release) as so5 , sum(calls_routed_non_agent) as so6
       , sum(error_count) as so7 , sum(agent_error_count) as so8 , sum(outflow_contacts) as so9 , sum(return_ring) as so10 , sum(incomplete_calls) as so11
from cc_s_acd_interval ai inner join cc_s_contact_queue cq on ai.contact_queue_id = cq.contact_queue_id --and ai.interval_date &gt;= '13-Jan-2016' 
and cq.queue_number in (6108,6109,
6110,
6111,
6112,
6113,
6114,
6115,
6117,
6118,
6119,
6120,
6121,
6122,
6123,
6124,
6125,
6127,
6132,
6133,
6139,
6140,
6141,
6142,
6143,
6144,
6145,
6146,
6147,
6148,
6149,
6150,
6126,
6152,
6221,
6222,
6223,
6224,
6225,
6106,
6107,
6116,
6586,
6587,
6588,
6589,
6590,
6591,
6592,
6593,
6594,
6595,
6596,
6597,
6598,
6599
) 
group by 'PP 16',ai.interval_date, cq.queue_name order by ai.interval_date desc ) sub1
where contacts_handled &lt;&gt; (soa1 + soa2 + soa3 + soa4 + soa5 + soa6 + soa7 + soa8 + soa9 + soa10)
order by interval_date, queue_name;</t>
  </si>
  <si>
    <t>select testnumber, interval_date, queue_number, sum(contacts_handled), sum(speed_of_answer), sum(sysout), sum(diff), round((sum(diff)/sum(contacts_handled))*100,2) as error_rate_day
 from ( select testnumber,interval_date,queue_number,queue_name,contacts_handled,
       (soa1 + soa2 + soa3 + soa4 + soa5 + soa6 + soa7 + soa8 + soa9 + soa10) as speed_of_answer,
       (so1 + so2 + so3 + so4 + so5 + so6 + so7 + so8 + so9 + so10 + so11) as sysout, contacts_handled - (soa1 + soa2 + soa3 + soa4 + soa5 + soa6 + soa7 + soa8 + soa9 + soa10) as diff
from (select 'PP 16 detail' as TestNumber, ai.interval_date, cq.queue_number, cq.queue_name, sum(contacts_handled) as contacts_handled,
       sum(speed_of_answer_period_1) as soa1,sum(speed_of_answer_period_2) as soa2,sum(speed_of_answer_period_3) as soa3,
       sum(speed_of_answer_period_4) as soa4,sum(speed_of_answer_period_5) as soa5,sum(speed_of_answer_period_6) as soa6, 
       sum(speed_of_answer_period_7) as soa7,sum(speed_of_answer_period_8) as soa8,sum(speed_of_answer_period_9) as soa9,
       sum(speed_of_answer_period_10) as soa10, sum(icr_default_routed) as so1, sum(network_default_routed) as so2 
       , sum(return_busy) as so3 , sum(calls_rona) as so4 , sum(return_release) as so5 , sum(calls_routed_non_agent) as so6
       , sum(error_count) as so7 , sum(agent_error_count) as so8 , sum(outflow_contacts) as so9 , sum(return_ring) as so10 , sum(incomplete_calls) as so11
from cc_s_acd_interval ai inner join cc_s_contact_queue cq on ai.contact_queue_id = cq.contact_queue_id
and ai.interval_date &gt;= '13-Jan-2016' 
and cq.queue_number in (6108,6109,
6110,
6111,
6112,
6113,
6114,
6115,
6117,
6118,
6119,
6120,
6121,
6122,
6123,
6124,
6125,
6127,
6132,
6133,
6139,
6140,
6141,
6142,
6143,
6144,
6145,
6146,
6147,
6148,
6149,
6150,
6126,
6152,
6221,
6222,
6223,
6224,
6225,
6106,
6107,
6116,
6586,
6587,
6588,
6589,
6590,
6591,
6592,
6593,
6594,
6595,
6596,
6597,
6598,
6599) 
group by 'PP 16 detail',ai.interval_date, cq.queue_number, cq.queue_name order by ai.interval_date desc ) sub1
where contacts_handled &lt;&gt; (soa1 + soa2 + soa3 + soa4 + soa5 + soa6 + soa7 + soa8 + soa9 + soa10) order by interval_date, queue_name )
group by testnumber, interval_date, queue_number order by testnumber, interval_date;</t>
  </si>
  <si>
    <t>select 'PP 15' as test_num, s.interval_date, to_char(itv.interval_start_date, 'mm/dd/yyyy hh24:mi:ss') Interval_DT, q.queue_number, q.queue_name, s.icr_default_routed 
+ s.network_default_routed + s.return_busy + s.calls_rona + s.return_release + s.calls_routed_non_agent + s.error_count + s.agent_error_count 
+ s.outflow_contacts + s.return_ring + s.incomplete_calls as sysout
from cc_s_acd_interval s inner join cc_s_contact_queue q on q.contact_queue_id = s.contact_queue_id
inner join cc_s_interval itv on s.interval_id = itv.interval_id
where  s.interval_date &gt;= '29-May-2017'
and 
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</si>
  <si>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 xml:space="preserve">select  Convert(char,CAST(SWITCHOFFSET(TODATETIMEOFFSET(i.DateTime, -360), '-04:00') as datetime),101) as Date
,CAST(SWITCHOFFSET(TODATETIMEOFFSET(i.DateTime, -360), '-04:00') as datetime) DateTime
,t.CallTypeID,t.EnterpriseName, ICRDefaultRouted + NetworkDefaultRouted + ReturnBusy + ReturnRing + CallsRONA
+ ReturnRelease + CallsRoutedNonAgent + ErrorCount + AgentErrorCount + OverflowOut + IncompleteCalls  as sysout
from maxco_awdb.dbo.Call_Type_Interval i inner join maxco_awdb.dbo.Call_Type t on t.CallTypeID = i.CallTypeID where 
Convert(char,CAST(SWITCHOFFSET(TODATETIMEOFFSET(i.DateTime, -360), '-04:00') as datetime),101) &gt;= '01/13/2016'
and Convert(char,CAST(SWITCHOFFSET(TODATETIMEOFFSET(i.DateTime, -360), '-04:00') as datetime),101) &lt;= '02/01/2016'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3,1,2;
</t>
  </si>
  <si>
    <t xml:space="preserve">select  Convert(char,CAST(SWITCHOFFSET(TODATETIMEOFFSET(i.DateTime, -360), '-04:00') as datetime),101) as Date
,CAST(SWITCHOFFSET(TODATETIMEOFFSET(i.DateTime, -360), '-04:00') as datetime) DateTime,t.CallTypeID,t.EnterpriseName,i.AbandInterval1
from maxco_awdb.dbo.Call_Type_Interval i inner join maxco_awdb.dbo.Call_Type t on t.CallTypeID = i.CallTypeID where 
Convert(char,CAST(SWITCHOFFSET(TODATETIMEOFFSET(i.DateTime, -360), '-04:00') as datetime),101) &gt;= '01/13/2016'
and Convert(char,CAST(SWITCHOFFSET(TODATETIMEOFFSET(i.DateTime, -360), '-04:00') as datetime),101) &lt;= '02/01/2016'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3,1,2;
</t>
  </si>
  <si>
    <t>select 'PP 14' as test_num, s.interval_date,to_char(itv.interval_start_date, 'mm/dd/yyyy hh24:mi:ss') Interval_DT, q.queue_number, q.queue_name, s.calls_abandoned_period_1
from cc_s_acd_interval s inner join cc_s_contact_queue q on q.contact_queue_id = s.contact_queue_id
inner join cc_s_interval itv on s.interval_id = itv.interval_id
where  s.interval_date &gt;= '29-May-2017'
and 
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</si>
  <si>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select  Convert(char,CAST(SWITCHOFFSET(TODATETIMEOFFSET(i.DateTime, -360), '-04:00') as datetime),101) as Date
,CAST(SWITCHOFFSET(TODATETIMEOFFSET(i.DateTime, -360), '-04:00') as datetime) DateTime,t.CallTypeID,t.EnterpriseName,i.HoldTime
from maxco_awdb.dbo.Call_Type_Interval i inner join maxco_awdb.dbo.Call_Type t on t.CallTypeID = i.CallTypeID where 
Convert(char,CAST(SWITCHOFFSET(TODATETIMEOFFSET(i.DateTime, -360), '-04:00') as datetime),101) &gt;= '01/13/2016'
and Convert(char,CAST(SWITCHOFFSET(TODATETIMEOFFSET(i.DateTime, -360), '-04:00') as datetime),101) &lt;= '02/01/2016'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3,1,2;</t>
  </si>
  <si>
    <t>select 'PP 13' as test_num, s.interval_date, to_char(itv.interval_start_date, 'mm/dd/yyyy hh24:mi:ss') Interval_DT, q.queue_number, q.queue_name, s.hold_time_total
from cc_s_acd_interval s inner join cc_s_contact_queue q on q.contact_queue_id = s.contact_queue_id
inner join cc_s_interval itv on s.interval_id = itv.interval_id
where  s.interval_date &gt;= '29-May-2017'
and 
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</si>
  <si>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select  Convert(char,CAST(SWITCHOFFSET(TODATETIMEOFFSET(i.DateTime, -360), '-04:00') as datetime),101) as Date
,CAST(SWITCHOFFSET(TODATETIMEOFFSET(i.DateTime, -360), '-04:00') as datetime) DateTime,t.CallTypeID,t.EnterpriseName,i.HandleTime - i.HoldTime - i.TalkTime as calc_wrap_time
from maxco_awdb.dbo.Call_Type_Interval i inner join maxco_awdb.dbo.Call_Type t on t.CallTypeID = i.CallTypeID where 
Convert(char,CAST(SWITCHOFFSET(TODATETIMEOFFSET(i.DateTime, -360), '-04:00') as datetime),101) &gt;= '01/13/2016'
and Convert(char,CAST(SWITCHOFFSET(TODATETIMEOFFSET(i.DateTime, -360), '-04:00') as datetime),101) &lt;= '02/01/2016'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3,1,2;</t>
  </si>
  <si>
    <t>select 'PP 12' as test_num, s.interval_date,to_char(itv.interval_start_date, 'mm/dd/yyyy hh24:mi:ss') Interval_DT, q.queue_number, q.queue_name, s.after_call_work_time_total
from cc_s_acd_interval s inner join cc_s_contact_queue q on q.contact_queue_id = s.contact_queue_id
inner join cc_s_interval itv on s.interval_id = itv.interval_id
where  s.interval_date &gt;= '29-May-2017'
and 
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</si>
  <si>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select  Convert(char,CAST(SWITCHOFFSET(TODATETIMEOFFSET(i.DateTime, -360), '-04:00') as datetime),101) as Date
,CAST(SWITCHOFFSET(TODATETIMEOFFSET(i.DateTime, -360), '-04:00') as datetime) DateTime,t.CallTypeID,t.EnterpriseName,i.TalkTime
from maxco_awdb.dbo.Call_Type_Interval i inner join maxco_awdb.dbo.Call_Type t on t.CallTypeID = i.CallTypeID where 
Convert(char,CAST(SWITCHOFFSET(TODATETIMEOFFSET(i.DateTime, -360), '-04:00') as datetime),101) &gt;= '01/13/2016'
and Convert(char,CAST(SWITCHOFFSET(TODATETIMEOFFSET(i.DateTime, -360), '-04:00') as datetime),101) &lt;= '02/01/2016'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3,1,2;</t>
  </si>
  <si>
    <t>select 'PP 11' as test_num, s.interval_date, to_char(itv.interval_start_date, 'mm/dd/yyyy hh24:mi:ss') Interval_DT, q.queue_number, q.queue_name, s.talk_time_total
from cc_s_acd_interval s inner join cc_s_contact_queue q on q.contact_queue_id = s.contact_queue_id
inner join cc_s_interval itv on s.interval_id = itv.interval_id
where  s.interval_date &gt;= '29-May-2017'
and 
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</si>
  <si>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select  Convert(char,CAST(SWITCHOFFSET(TODATETIMEOFFSET(i.DateTime, -360), '-04:00') as datetime),101) as Date
,CAST(SWITCHOFFSET(TODATETIMEOFFSET(i.DateTime, -360), '-04:00') as datetime) DateTime,t.CallTypeID,t.EnterpriseName,i.CallDelayAbandTime
from maxco_awdb.dbo.Call_Type_Interval i inner join maxco_awdb.dbo.Call_Type t on t.CallTypeID = i.CallTypeID where 
Convert(char,CAST(SWITCHOFFSET(TODATETIMEOFFSET(i.DateTime, -360), '-04:00') as datetime),101) &gt;= '01/13/2016'
and Convert(char,CAST(SWITCHOFFSET(TODATETIMEOFFSET(i.DateTime, -360), '-04:00') as datetime),101) &lt;= '02/01/2016'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3,1,2;</t>
  </si>
  <si>
    <t>select 'PP 10' as test_num, s.interval_date, to_char(itv.interval_start_date, 'mm/dd/yyyy hh24:mi:ss') Interval_DT, q.queue_number, q.queue_name, s.abandon_time_total
from cc_s_acd_interval s inner join cc_s_contact_queue q on q.contact_queue_id = s.contact_queue_id
inner join cc_s_interval itv on s.interval_id = itv.interval_id
where  s.interval_date &gt;= '29-May-2017'
and 
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</si>
  <si>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select 'PP 9' as test_num, s.interval_date, to_char(itv.interval_start_date, 'mm/dd/yyyy hh24:mi:ss') Interval_DT, q.queue_number, q.queue_name, s.answer_wait_time_total
from cc_s_acd_interval s inner join cc_s_contact_queue q on q.contact_queue_id = s.contact_queue_id
inner join cc_s_interval itv on s.interval_id = itv.interval_id
where s.interval_date &gt;= '29-May-2017' 
and q.queue_number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</si>
  <si>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select  Convert(char,CAST(SWITCHOFFSET(TODATETIMEOFFSET(i.DateTime, -360), '-04:00') as datetime),101) as Date
,CAST(SWITCHOFFSET(TODATETIMEOFFSET(i.DateTime, -360), '-04:00') as datetime) DateTime,t.CallTypeID,t.EnterpriseName,i.AnswerWaitTime
from maxco_awdb.dbo.Call_Type_Interval i inner join maxco_awdb.dbo.Call_Type t on t.CallTypeID = i.CallTypeID where 
Convert(char,CAST(SWITCHOFFSET(TODATETIMEOFFSET(i.DateTime, -360), '-04:00') as datetime),101) &gt;= '01/13/2016'
and Convert(char,CAST(SWITCHOFFSET(TODATETIMEOFFSET(i.DateTime, -360), '-04:00') as datetime),101) &lt;= '02/01/2016'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3,1,2;</t>
  </si>
  <si>
    <t>select  Convert(char,CAST(SWITCHOFFSET(TODATETIMEOFFSET(i.DateTime, -360), '-04:00') as datetime),101) as Date
,CAST(SWITCHOFFSET(TODATETIMEOFFSET(i.DateTime, -360), '-04:00') as datetime) DateTime,t.CallTypeID,t.EnterpriseName,i.AnswerWaitTime,i.CallsHandled,
case when i.CallsHandled = 0 then 0 else round((cast(i.AnswerWaitTime as float)/ cast(i.CallsHandled as float)),2) end as asa, i.RouterQueueWaitTime
from maxco_awdb.dbo.Call_Type_Interval i inner join maxco_awdb.dbo.Call_Type t on t.CallTypeID = i.CallTypeID where 
Convert(char,CAST(SWITCHOFFSET(TODATETIMEOFFSET(i.DateTime, -360), '-04:00') as datetime),101) &gt;= '05/30/2017'
and Convert(char,CAST(SWITCHOFFSET(TODATETIMEOFFSET(i.DateTime, -360), '-04:00') as datetime),101) &lt; '05/31/2017'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3,2,1;</t>
  </si>
  <si>
    <t>select 'PP 8' as test_num, s.interval_date, to_char(itv.interval_start_date, 'mm/dd/yyyy hh24:mi:ss') Interval_DT, q.queue_number, q.queue_name, s.mean_speed_of_answer,
case when s.contacts_handled = 0 then 0 else round((s.answer_wait_time_total/ s.contacts_handled),2) end as calc_asa
from cc_s_acd_interval s inner join cc_s_contact_queue q on q.contact_queue_id = s.contact_queue_id
inner join cc_s_interval itv on s.interval_id = itv.interval_id
where  s.interval_date &gt;= '29-May-2017'
and 
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</si>
  <si>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select  Convert(char,CAST(SWITCHOFFSET(TODATETIMEOFFSET(i.DateTime, -360), '-04:00') as datetime),101) as Date
,CAST(SWITCHOFFSET(TODATETIMEOFFSET(i.DateTime, -360), '-04:00') as datetime) DateTime,t.CallTypeID,t.EnterpriseName,i.HandleTime,i.CallsHandled,
case when i.CallsHandled = 0 then 0 else round((cast(i.HandleTime as float)/ cast(i.CallsHandled as float)),2) end as aht
from maxco_awdb.dbo.Call_Type_Interval i inner join maxco_awdb.dbo.Call_Type t on t.CallTypeID = i.CallTypeID where 
Convert(char,CAST(SWITCHOFFSET(TODATETIMEOFFSET(i.DateTime, -360), '-04:00') as datetime),101) &gt;= '01/13/2016'
and Convert(char,CAST(SWITCHOFFSET(TODATETIMEOFFSET(i.DateTime, -360), '-04:00') as datetime),101) &lt;= '02/02/2016'
and t.CallTypeID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3,1,2;</t>
  </si>
  <si>
    <t>select 'PP 7' as test_num, s.interval_date, to_char(itv.interval_start_date, 'mm/dd/yyyy hh24:mi:ss') Interval_DT, q.queue_number, q.queue_name, s.handle_time,s.contacts_handled
       ,case when s.contacts_handled = 0 then 0 else round((s.talk_time_total+s.hold_time_total+s.after_call_work_time_total)/(s.contacts_handled),1) end as aht_calc
from cc_s_acd_interval s inner join cc_s_contact_queue q on q.contact_queue_id = s.contact_queue_id 
inner join cc_s_interval itv on s.interval_id = itv.interval_id
where  s.interval_date &gt;= '29-May-2017'
and 
queue_number in(6108,
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4,2,3;</t>
  </si>
  <si>
    <t>select mainc.*, offered - handle_abandon - sysout as diff from (
select 'PP5_detail' as TestNumber, ai.interval_date, cq.queue_name, cq.queue_number,sum(ai.contacts_offered) as offered, sum(ai.contacts_handled)+
      sum(ai.contacts_abandoned) as handle_abandon, sum(ai.icr_default_routed) + sum(ai.network_default_routed) + sum(ai.return_busy) + sum(ai.calls_rona) + 
      sum(ai.return_release) + sum(ai.calls_routed_non_agent) + sum(ai.error_count) + sum(ai.agent_error_count) + sum(ai.outflow_contacts) + sum(ai.return_ring) +
      sum(ai.incomplete_calls) + sum(calls_given_force_disconnect) + sum(calls_given_route_to)+sum(short_abandons) as sysout
from cc_s_acd_interval ai
inner join cc_s_contact_queue cq on ai.contact_queue_id = cq.contact_queue_id 
where ai.interval_date &gt;= '01-Jan-2016' and cq.queue_number in(6108,6109,
6110,
6111,
6112,
6113,
6114,
6115,
6117,
6118,
6119,
6120,
6121,
6122,
6123,
6124,
6125,
6127,
6132,
6133,
6139,
6140,
6141,
6142,
6143,
6144,
6145,
6146,
6147,
6148,
6149,
6150,
6126,
6152,
6221,
6222,
6223,
6224,
6225,
6106,
6107,
6116,
6586,
6587,
6588,
6589,
6590,
6591,
6592,
6593,
6594,
6595,
6596,
6597,
6598,
6599)
group by 'PP5_detail', ai.interval_date, cq.queue_name, cq.queue_number) mainc;</t>
  </si>
  <si>
    <t>select 'PP18' as TestNumber,ai.acd_interval_id, ai.interval_date, cq.queue_name, ai.contacts_abandoned,  
       ai.calls_abandoned_period_1+ai.calls_abandoned_period_2+ai.calls_abandoned_period_3+ai.calls_abandoned_period_4+
       ai.calls_abandoned_period_5+ai.calls_abandoned_period_6+ai.calls_abandoned_period_7+ai.calls_abandoned_period_8+
       ai.calls_abandoned_period_9+ai.calls_abandoned_period_10 as calls_abandoned_periods
from cc_s_acd_interval ai
inner join cc_s_contact_queue cq on ai.contact_queue_id = cq.contact_queue_id
where ai.contacts_abandoned != ai.calls_abandoned_period_1+ai.calls_abandoned_period_2+ai.calls_abandoned_period_3+
      ai.calls_abandoned_period_4+ai.calls_abandoned_period_5+ai.calls_abandoned_period_6+ai.calls_abandoned_period_7+
      ai.calls_abandoned_period_8+ai.calls_abandoned_period_9+ai.calls_abandoned_period_10 
--and ai.interval_date &gt;= '13-Jan-2016' 
and cq.queue_number in(6108,6109,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queue_name, ai.interval_date desc;</t>
  </si>
  <si>
    <t>select * from (select testnumber, interval_date,queue_name, sum(contacts_handled) as handled_day,
       sum(service_level_answered_count) as sla_count_day, sum(sysout_calls) as sysout_day
from (select 'PP19' as TestNumber, ai.acd_interval_id, ai.interval_date, cq.queue_name, 
       ai.contacts_handled, ai.service_level_answered_count,       
       ai.icr_default_routed + ai.network_default_routed + ai.return_busy + ai.calls_rona + ai.return_release + 
       ai.calls_routed_non_agent + ai.error_count + ai.agent_error_count + ai.outflow_contacts + ai.return_ring +
       ai.incomplete_calls as sysout_calls       
from cc_s_acd_interval ai inner join cc_s_contact_queue cq on ai.contact_queue_id = cq.contact_queue_id where --ai.interval_date &gt;= '13-Jan-2016' 
--and 
cq.queue_number in(6108,6109,
6110,
6111,
6112,
6113,
6114,
6115,
6117,
6118,
6119,
6120,
6121,
6122,
6123,
6124,
6125,
6127,
6132,
6133,
6139,
6140,
6141,
6142,
6143,
6144,
6145,
6146,
6147,
6148,
6149,
6150,
6126,
6152,
6221,
6222,
6223,
6224,
6225,
6106,
6107,
6116,
6586,
6587,
6588,
6589,
6590,
6591,
6592,
6593,
6594,
6595,
6596,
6597,
6598,
6599)
order by cq.queue_name, ai.interval_date desc )
group by testnumber, queue_name, interval_date
order by testnumber, interval_date, queue_name )
where sla_count_day &gt; handled_day;</t>
  </si>
  <si>
    <t>SELECT
  CallGUID as "InteractionID"
,null as "Client"
,'epVmail' as "MediaType"
,DateTime as "submittedTime"
,DATEADD(ss,TalkTime,DateTime) as "CompletedTime"
,CallReferenceID as "connID"
,null as "CRMActivityID"
FROM Termination_Call_Detail
WHERE DateTime &gt;= convert(varchar(10),'2017/06/01 00:00:00',111)
and convert(date,SWITCHOFFSET(TODATETIMEOFFSET(DateTime, -360), '-04:00')) &lt; '2017/06/02'
and CallTypeID in (6108,6109,
6110,
6111,
6112,
6113,
6114,
6115,
6117,
6118,
6119,
6120,
6121,
6122,
6123,
6124,
6125,
6127,
6132,
6133,
6139,
6140,
6141,
6142,
6143,
6144,
6145,
6146,
6147,
6148,
6149,
6150,
6126,
6152,
6221,
6222,
6223,
6224,
6225,
6106,
6107,
6116,
6586,
6587,
6588,
6589,
6590,
6591,
6592,
6593,
6594,
6595,
6596,
6597,
6598,
6599)
and SUBSTRING(DNIS, 1, 3) not in ('777')  ;</t>
  </si>
  <si>
    <t>run control on cisco; the mismatch in calls offered is due to the EST conversion of date. The numbers match what we have in cisco enterprise prod for CAHCO</t>
  </si>
  <si>
    <t>Queue number 6108 for 08-May-17 - Error Rate = -0.18; Queue number 6115 for 11-May-17 - Error Rate = -3.33; This seems to be a known issue - same issue is encountered in cisco enterprise prod</t>
  </si>
  <si>
    <t>all configured queues have an assigned uow - the ones with unknowns are not configured</t>
  </si>
  <si>
    <t>Check against configuration document</t>
  </si>
  <si>
    <t>run control on cisco - used only 6108 queue in the worksheet P7-P15 due to volume of data</t>
  </si>
  <si>
    <t>AGENT ROUTING GROUP MODULE TESTS</t>
  </si>
  <si>
    <t>ARG1</t>
  </si>
  <si>
    <t>All Cisco agent routing group types will be 
identified in MAXDAT and either 
configured or confirmed to exclude</t>
  </si>
  <si>
    <t xml:space="preserve">Cisco agent routing group types are properly configured 
or listed in MAXDAT </t>
  </si>
  <si>
    <t>select routing_group_number, routing_group_name
from cc_c_agent_routing_group
where project_name = 'CA HCO'</t>
  </si>
  <si>
    <t>select * from Precision_Queue
where EnterpriseName like '%CARC%'</t>
  </si>
  <si>
    <t>PrecisionQueueID</t>
  </si>
  <si>
    <t>Routing_Group_Number</t>
  </si>
  <si>
    <t>Routing_Group_Name</t>
  </si>
  <si>
    <t>CARC_CHCO_0046_SECSR</t>
  </si>
  <si>
    <t>CARC_CHCO_0046_SSCSR</t>
  </si>
  <si>
    <t>CARC_CHCO_0046_SFCSR</t>
  </si>
  <si>
    <t>CARC_CHCO_0046_SRCSR</t>
  </si>
  <si>
    <t>CARC_CHCO_0046_SABCSR</t>
  </si>
  <si>
    <t>CARC_CHCO_0046_SHCSR</t>
  </si>
  <si>
    <t>CARC_CHCO_0046_SARCSR</t>
  </si>
  <si>
    <t>CARC_CHCO_0046_SMCSR</t>
  </si>
  <si>
    <t>CARC_CHCO_0046_STCSR</t>
  </si>
  <si>
    <t>CARC_CHCO_0046_SKCSR</t>
  </si>
  <si>
    <t>CARC_CHCO_0046_SCNCSR</t>
  </si>
  <si>
    <t>CARC_CHCO_0046_SVCSR</t>
  </si>
  <si>
    <t>CARC_CHCO_0046_SCMCSR</t>
  </si>
  <si>
    <t>CARC_CHCO_0046_SEPVD</t>
  </si>
  <si>
    <t>CARC_CHCO_0046_SESR</t>
  </si>
  <si>
    <t>CARC_CHCO_0046_SRSCH</t>
  </si>
  <si>
    <t>ARG2</t>
  </si>
  <si>
    <t>AGENT EFFICIENCY AGENT ROUTING GROUPS</t>
  </si>
  <si>
    <t>All interval ARG data must have a valid agent routing group assignment in stage</t>
  </si>
  <si>
    <t xml:space="preserve">Every ARG interval record is associated with a valid agent routing group. </t>
  </si>
  <si>
    <t>select 'ARG 2' as TestNumber,agent_rtg_grp_interval_id, si.interval_start_date, agent_routing_group_id 
from CC_S_AGENT_RTG_GRP_INTERVAL ai inner join cc_s_interval si on ai.interval_id = si.interval_id
where agent_routing_group_id = 0 order by si.interval_start_date desc;</t>
  </si>
  <si>
    <t>ARG3</t>
  </si>
  <si>
    <t>All interval ARG data must have a valid agent routing group assignment in fact</t>
  </si>
  <si>
    <t>"select 'ARG 3' as test_num, f.f_agent_rtg_grp_interval_id, i.interval_start_time_of_day24, q.agent_routing_group_number
from cc_f_agent_rtg_grp_interval f
inner join cc_d_interval i on f.d_interval_id = i.d_interval_id 
inner join cc_c_agent_rtg_grp q on f.agent_routing_group_id = q.c_agent_routing_group_id where f.agent_routing_group_id = 0 
order by i.interval_start_date desc;"</t>
  </si>
  <si>
    <t>Interval_date</t>
  </si>
  <si>
    <t>ACD_CALLS_COUNT</t>
  </si>
  <si>
    <t>TALK_SECONDS</t>
  </si>
  <si>
    <t>HOLD_SECONDS</t>
  </si>
  <si>
    <t>ARG4</t>
  </si>
  <si>
    <t>Staged calls count, talk seconds, hold seconds, after call work seconds Matches Source System by Agent routing group</t>
  </si>
  <si>
    <t xml:space="preserve">Daily calls count, talk seconds, hold seconds, after call work seconds Matches Source System </t>
  </si>
  <si>
    <t xml:space="preserve">select 'ARG 4 etl' as test_num, s.interval_date, q.agent_routing_group_number,  sum(s.acd_calls_count) as acd_calls_count, sum(s.acd_talk_seconds) as talk_seconds,
sum(s.hold_seconds) as hold_seconds, sum(s.after_call_work_seconds) as after_call_work_seconds
from cc_s_agent_rtg_grp_interval s inner join cc_c_agent_rtg_grp q on q.c_agent_routing_group_id = s.agent_routing_group_id
where 
s.interval_date = '01-JUN-17'  and 
q.agent_routing_group_number in(
5151
,5152
,5153
,5154
,5155
,5156
,5157
,5158
,5159
,5160
,5161
,5162
,5163
,5164
,5165
,5166
)
group by 'ARG 4 etl', s.interval_date, q.agent_routing_group_number 
order by s.interval_date, q.agent_routing_group_number;
</t>
  </si>
  <si>
    <t xml:space="preserve">select  CONVERT(varchar(11), i.DateTime, 101)  Date, t.PrecisionQueueID, sum(i.CallsHandled)  acd_Calls_count, sum(i.TalkInTime)  talk_seconds, 
sum(i.HoldTime)  hold_seconds, 
sum(i.WorkNotReadyTime + i.WorkReadyTime) after_call_work_seconds 
from maxco_awdb.dbo.Agent_Skill_Group_Interval i , maxco_awdb.dbo.Precision_Queue t 
where t.PrecisionQueueID = i.PrecisionQueueID 
and CONVERT(varchar(11), i.DateTime, 101) &gt;= '06/01/2017' and CONVERT(varchar(11), i.DateTime, 101) &lt; '06/02/2017'  
and i.PrecisionQueueID in 
(
5151
,5152
,5153
,5154
,5155
,5156
,5157
,5158
,5159
,5160
,5161
,5162
,5163
,5164
,5165
,5166
) 
group by  CONVERT(varchar(11), i.DateTime, 101), t.PrecisionQueueID, t.EnterpriseName 
order by CONVERT(varchar(11), i.DateTime, 101) , t.PrecisionQueueID;
</t>
  </si>
  <si>
    <t>See ARG4 sheet</t>
  </si>
  <si>
    <t>login_id</t>
  </si>
  <si>
    <t>idle_seconds</t>
  </si>
  <si>
    <t>login_seconds</t>
  </si>
  <si>
    <t>not_ready_Seconds</t>
  </si>
  <si>
    <t>ARG5</t>
  </si>
  <si>
    <t>Staged idle_seconds, login_seconds, not_ready_seconds Matches Source System by Agent routing group</t>
  </si>
  <si>
    <t xml:space="preserve">Daily  idle_seconds, login_seconds, not_ready_seconds  Matches Source System </t>
  </si>
  <si>
    <t xml:space="preserve">with driver as
(
select distinct i.SkillTargetID, PeripheralNumber from maxco_awdb.dbo.Agent_Skill_Group_Interval i, maxco_awdb.dbo.Agent a
where i.SkillTargetID = a.SkillTargetID
and CONVERT(varchar(11), i.DateTime, 101) &gt;= '06/01/2017' and CONVERT(varchar(11), i.DateTime, 101) &lt; '06/02/2017'
and i.PrecisionQueueID in 
(
5151
,5152
,5153
,5154
,5155
,5156
,5157
,5158
,5159
,5160
,5161
,5162
,5163
,5164
,5165
,5166
) 
)
select
CONVERT(varchar(11), i.DateTime, 101)  Date, d.PeripheralNumber
,sum(LoggedOnTime)  LOGIN_SECONDS 
  , sum(AvailTime) IDLE_SECONDS
 ,sum(NotReadyTime)  NOT_READY_SECONDS 
from maxco_awdb.dbo.Agent_Skill_Group_Interval i ,driver d
where d.SkillTargetID = i.SkillTargetID 
and CONVERT(varchar(11), i.DateTime, 101) &gt;= '06/01/2017' and CONVERT(varchar(11), i.DateTime, 101) &lt; '06/02/2017'  
and i.SkillGroupSkillTargetID in (5000, 5001)
group by  CONVERT(varchar(11), i.DateTime, 101), d.PeripheralNumber 
order by  CONVERT(varchar(11), i.DateTime, 101), d.PeripheralNumber 
</t>
  </si>
  <si>
    <t xml:space="preserve">
with driver as (
select  distinct s.interval_id,interval_date,  q.login_id, login_seconds, idle_seconds, not_ready_seconds
from cc_s_agent_rtg_grp_interval s 
inner join cc_s_agent q on q.agent_id = s.agent_id
inner join cc_c_agent_rtg_grp c on s.agent_routing_group_id = c.c_agent_routing_group_id
where s.interval_date = '01-JUN-17' 
and c.project_name = 'CA HCO'
)
select 'AGR 5 etl' as test_num, interval_Date, login_id, sum(login_seconds), sum(idle_seconds), sum(not_ready_seconds)
from driver
group by interval_date, login_id
order by interval_date, login_id</t>
  </si>
  <si>
    <t xml:space="preserve">See ARG5 sheet 
There is a mismatch of counts for one agent. And that is because he has just a default skill group row no agent routing group row for a couple of intervals. Here is the query to verify against the source
with driver as
(
select distinct i.SkillTargetID, PeripheralNumber from maxco_awdb.dbo.Agent_Skill_Group_Interval i, maxco_awdb.dbo.Agent a
where i.SkillTargetID = a.SkillTargetID
and CONVERT(varchar(11), i.DateTime, 101) &gt;= '06/01/2017' and CONVERT(varchar(11), i.DateTime, 101) &lt; '06/02/2017'
and i.PrecisionQueueID in 
(
5151
,5152
,5153
,5154
,5155
,5156
,5157
,5158
,5159
,5160
,5161
,5162
,5163
,5164
,5165
,5166
) 
)
select
DateTime, d.PeripheralNumber, PrecisionQueueID, SkillGroupSkillTargetID
,LoggedOnTime LOGIN_SECONDS 
  , AvailTime IDLE_SECONDS
 ,NotReadyTime  NOT_READY_SECONDS 
from maxco_awdb.dbo.Agent_Skill_Group_Interval i ,driver d
where d.SkillTargetID = i.SkillTargetID 
and CONVERT(varchar(11), i.DateTime, 101) &gt;= '06/01/2017' and CONVERT(varchar(11), i.DateTime, 101) &lt; '06/02/2017'  
--and i.SkillGroupSkillTargetID in (5000, 5001)
and PeripheralNumber = '0136377'
order by  CONVERT(varchar(11), i.DateTime, 101), d.PeripheralNumber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</si>
</sst>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m/d/yy\ h:mm;@"/>
  </numFmts>
  <fonts count="14" x14ac:knownFonts="1">
    <font>
      <sz val="11"/>
      <color theme="1"/>
      <name val="Calibri"/>
      <family val="2"/>
      <scheme val="minor"/>
    </font>
    <font>
      <sz val="11"/>
      <color rgb="FF006100"/>
      <name val="Calibri"/>
      <family val="2"/>
      <scheme val="minor"/>
    </font>
    <font>
      <sz val="11"/>
      <color rgb="FF9C6500"/>
      <name val="Calibri"/>
      <family val="2"/>
      <scheme val="minor"/>
    </font>
    <font>
      <b/>
      <sz val="11"/>
      <color theme="1"/>
      <name val="Calibri"/>
      <family val="2"/>
      <scheme val="minor"/>
    </font>
    <font>
      <sz val="8"/>
      <color theme="1"/>
      <name val="Calibri"/>
      <family val="2"/>
      <scheme val="minor"/>
    </font>
    <font>
      <sz val="9"/>
      <color theme="1"/>
      <name val="Calibri"/>
      <family val="2"/>
      <scheme val="minor"/>
    </font>
    <font>
      <sz val="9"/>
      <color rgb="FF006100"/>
      <name val="Calibri"/>
      <family val="2"/>
      <scheme val="minor"/>
    </font>
    <font>
      <sz val="8"/>
      <color rgb="FF006100"/>
      <name val="Calibri"/>
      <family val="2"/>
      <scheme val="minor"/>
    </font>
    <font>
      <sz val="8"/>
      <color rgb="FFFF0000"/>
      <name val="Calibri"/>
      <family val="2"/>
      <scheme val="minor"/>
    </font>
    <font>
      <b/>
      <sz val="9"/>
      <color theme="1"/>
      <name val="Calibri"/>
      <family val="2"/>
      <scheme val="minor"/>
    </font>
    <font>
      <b/>
      <sz val="11"/>
      <color theme="0"/>
      <name val="Calibri"/>
      <family val="2"/>
      <scheme val="minor"/>
    </font>
    <font>
      <sz val="9"/>
      <color rgb="FF9C6500"/>
      <name val="Calibri"/>
      <family val="2"/>
      <scheme val="minor"/>
    </font>
    <font>
      <b/>
      <i/>
      <sz val="9"/>
      <color theme="1"/>
      <name val="Calibri"/>
      <family val="2"/>
      <scheme val="minor"/>
    </font>
    <font>
      <b/>
      <sz val="11"/>
      <name val="Calibri"/>
      <family val="2"/>
      <scheme val="minor"/>
    </font>
  </fonts>
  <fills count="14">
    <fill>
      <patternFill patternType="none"/>
    </fill>
    <fill>
      <patternFill patternType="gray125"/>
    </fill>
    <fill>
      <patternFill patternType="solid">
        <fgColor rgb="FFC6EFCE"/>
      </patternFill>
    </fill>
    <fill>
      <patternFill patternType="solid">
        <fgColor rgb="FFFFEB9C"/>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4"/>
        <bgColor theme="4"/>
      </patternFill>
    </fill>
    <fill>
      <patternFill patternType="solid">
        <fgColor rgb="FFFFFF00"/>
        <bgColor indexed="64"/>
      </patternFill>
    </fill>
    <fill>
      <patternFill patternType="solid">
        <fgColor rgb="FFFFFF00"/>
        <bgColor theme="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s>
  <borders count="10">
    <border>
      <left/>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69">
    <xf numFmtId="0" fontId="0" fillId="0" borderId="0" xfId="0"/>
    <xf numFmtId="0" fontId="5" fillId="0" borderId="3" xfId="0" applyFont="1" applyBorder="1" applyAlignment="1">
      <alignment horizontal="left" vertical="top" wrapText="1"/>
    </xf>
    <xf numFmtId="0" fontId="5" fillId="0" borderId="3" xfId="0" applyFont="1" applyFill="1" applyBorder="1" applyAlignment="1">
      <alignment horizontal="left" vertical="top" wrapText="1"/>
    </xf>
    <xf numFmtId="0" fontId="6" fillId="0" borderId="3" xfId="1" applyFont="1" applyFill="1" applyBorder="1" applyAlignment="1">
      <alignment horizontal="left" vertical="top" wrapText="1"/>
    </xf>
    <xf numFmtId="0" fontId="7" fillId="0" borderId="3" xfId="1" applyFont="1" applyFill="1" applyBorder="1" applyAlignment="1">
      <alignment horizontal="left" vertical="top" wrapText="1"/>
    </xf>
    <xf numFmtId="0" fontId="8" fillId="0" borderId="3" xfId="1" applyFont="1" applyFill="1" applyBorder="1" applyAlignment="1">
      <alignment horizontal="left" vertical="top" wrapText="1"/>
    </xf>
    <xf numFmtId="0" fontId="0" fillId="0" borderId="3" xfId="0" applyBorder="1" applyAlignment="1">
      <alignment wrapText="1"/>
    </xf>
    <xf numFmtId="0" fontId="0" fillId="0" borderId="3" xfId="0" applyFill="1" applyBorder="1" applyAlignment="1">
      <alignment wrapText="1"/>
    </xf>
    <xf numFmtId="0" fontId="9"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4" borderId="3" xfId="0" applyFont="1" applyFill="1" applyBorder="1" applyAlignment="1">
      <alignment horizontal="center" vertical="center" wrapText="1"/>
    </xf>
    <xf numFmtId="0" fontId="5" fillId="0" borderId="0" xfId="0" applyFont="1" applyAlignment="1">
      <alignment horizontal="center" vertical="center"/>
    </xf>
    <xf numFmtId="0" fontId="0" fillId="0" borderId="3" xfId="0" applyFill="1" applyBorder="1" applyAlignment="1">
      <alignment horizontal="center" vertical="center" wrapText="1"/>
    </xf>
    <xf numFmtId="0" fontId="0" fillId="0" borderId="3" xfId="0" applyFill="1" applyBorder="1" applyAlignment="1">
      <alignment horizontal="left" vertical="top" wrapText="1"/>
    </xf>
    <xf numFmtId="0" fontId="3" fillId="5" borderId="1" xfId="0" applyFont="1" applyFill="1" applyBorder="1" applyAlignment="1">
      <alignment horizontal="left" vertical="top" wrapText="1"/>
    </xf>
    <xf numFmtId="14" fontId="4" fillId="5" borderId="1" xfId="0" applyNumberFormat="1" applyFont="1" applyFill="1" applyBorder="1" applyAlignment="1">
      <alignment horizontal="center" vertical="center" wrapText="1"/>
    </xf>
    <xf numFmtId="22" fontId="0" fillId="0" borderId="0" xfId="0" applyNumberFormat="1"/>
    <xf numFmtId="0" fontId="10" fillId="6" borderId="6" xfId="0" applyFont="1" applyFill="1" applyBorder="1"/>
    <xf numFmtId="0" fontId="10" fillId="6" borderId="7" xfId="0" applyFont="1" applyFill="1" applyBorder="1"/>
    <xf numFmtId="0" fontId="10" fillId="6" borderId="8" xfId="0" applyFont="1" applyFill="1" applyBorder="1"/>
    <xf numFmtId="0" fontId="0" fillId="0" borderId="0" xfId="0" applyAlignment="1">
      <alignment horizontal="left"/>
    </xf>
    <xf numFmtId="0" fontId="0" fillId="7" borderId="0" xfId="0" applyFill="1" applyAlignment="1">
      <alignment horizontal="left"/>
    </xf>
    <xf numFmtId="15" fontId="0" fillId="0" borderId="0" xfId="0" applyNumberFormat="1"/>
    <xf numFmtId="0" fontId="0" fillId="7" borderId="0" xfId="0" applyFill="1"/>
    <xf numFmtId="0" fontId="5" fillId="0" borderId="0" xfId="0" applyFont="1" applyAlignment="1">
      <alignment vertical="top" wrapText="1"/>
    </xf>
    <xf numFmtId="0" fontId="5" fillId="0" borderId="3" xfId="0" applyFont="1" applyBorder="1" applyAlignment="1">
      <alignment vertical="top" wrapText="1"/>
    </xf>
    <xf numFmtId="0" fontId="12" fillId="0" borderId="3" xfId="0" applyFont="1" applyBorder="1" applyAlignment="1">
      <alignment vertical="top" wrapText="1"/>
    </xf>
    <xf numFmtId="14" fontId="5" fillId="0" borderId="3" xfId="0" applyNumberFormat="1" applyFont="1" applyBorder="1" applyAlignment="1">
      <alignment horizontal="center" vertical="center" wrapText="1"/>
    </xf>
    <xf numFmtId="0" fontId="5" fillId="0" borderId="3" xfId="0" quotePrefix="1" applyFont="1" applyBorder="1" applyAlignment="1">
      <alignment vertical="top" wrapText="1"/>
    </xf>
    <xf numFmtId="164" fontId="10" fillId="6" borderId="7" xfId="0" applyNumberFormat="1" applyFont="1" applyFill="1" applyBorder="1"/>
    <xf numFmtId="164" fontId="0" fillId="0" borderId="0" xfId="0" applyNumberFormat="1"/>
    <xf numFmtId="164" fontId="0" fillId="0" borderId="0" xfId="0" applyNumberFormat="1" applyFill="1"/>
    <xf numFmtId="15" fontId="0" fillId="0" borderId="0" xfId="0" applyNumberFormat="1" applyAlignment="1">
      <alignment horizontal="left"/>
    </xf>
    <xf numFmtId="0" fontId="0" fillId="0" borderId="0" xfId="0" applyFill="1"/>
    <xf numFmtId="15" fontId="0" fillId="0" borderId="0" xfId="0" applyNumberFormat="1" applyFill="1"/>
    <xf numFmtId="0" fontId="13" fillId="8" borderId="7" xfId="0" applyFont="1" applyFill="1" applyBorder="1"/>
    <xf numFmtId="0" fontId="13" fillId="8" borderId="8" xfId="0" applyFont="1" applyFill="1" applyBorder="1"/>
    <xf numFmtId="164" fontId="13" fillId="8" borderId="7" xfId="0" applyNumberFormat="1" applyFont="1" applyFill="1" applyBorder="1"/>
    <xf numFmtId="0" fontId="5" fillId="9" borderId="3" xfId="0" applyFont="1" applyFill="1" applyBorder="1" applyAlignment="1">
      <alignment vertical="top" wrapText="1"/>
    </xf>
    <xf numFmtId="0" fontId="5" fillId="10" borderId="3" xfId="0" applyFont="1" applyFill="1" applyBorder="1" applyAlignment="1">
      <alignment vertical="top" wrapText="1"/>
    </xf>
    <xf numFmtId="0" fontId="5" fillId="11" borderId="3" xfId="0" applyFont="1" applyFill="1" applyBorder="1" applyAlignment="1">
      <alignment vertical="top" wrapText="1"/>
    </xf>
    <xf numFmtId="0" fontId="5" fillId="12" borderId="3" xfId="0" applyFont="1" applyFill="1" applyBorder="1" applyAlignment="1">
      <alignment vertical="top" wrapText="1"/>
    </xf>
    <xf numFmtId="0" fontId="5" fillId="13" borderId="3" xfId="0" applyFont="1" applyFill="1" applyBorder="1" applyAlignment="1">
      <alignment vertical="top" wrapText="1"/>
    </xf>
    <xf numFmtId="0" fontId="5" fillId="0" borderId="0" xfId="0" applyFont="1" applyAlignment="1">
      <alignment horizontal="center" vertical="center" wrapText="1"/>
    </xf>
    <xf numFmtId="0" fontId="5" fillId="0" borderId="0" xfId="0" applyFont="1" applyAlignment="1">
      <alignment horizontal="left" vertical="top" wrapText="1"/>
    </xf>
    <xf numFmtId="0" fontId="0" fillId="0" borderId="4" xfId="0" applyFill="1" applyBorder="1" applyAlignment="1">
      <alignment horizontal="center" vertical="center" wrapText="1"/>
    </xf>
    <xf numFmtId="165" fontId="0" fillId="0" borderId="0" xfId="0" applyNumberFormat="1"/>
    <xf numFmtId="14" fontId="0" fillId="0" borderId="0" xfId="0" applyNumberFormat="1"/>
    <xf numFmtId="2" fontId="0" fillId="0" borderId="0" xfId="0" applyNumberFormat="1"/>
    <xf numFmtId="2" fontId="10" fillId="6" borderId="7" xfId="0" applyNumberFormat="1" applyFont="1" applyFill="1" applyBorder="1"/>
    <xf numFmtId="0" fontId="5" fillId="0" borderId="0" xfId="0" applyFont="1" applyFill="1" applyBorder="1" applyAlignment="1">
      <alignment horizontal="left" vertical="top" wrapText="1"/>
    </xf>
    <xf numFmtId="11" fontId="0" fillId="0" borderId="0" xfId="0" applyNumberFormat="1"/>
    <xf numFmtId="0" fontId="3" fillId="0" borderId="0" xfId="0" applyFont="1"/>
    <xf numFmtId="165" fontId="3" fillId="0" borderId="0" xfId="0" applyNumberFormat="1" applyFont="1"/>
    <xf numFmtId="0" fontId="8" fillId="0" borderId="0" xfId="1" applyFont="1" applyFill="1" applyBorder="1" applyAlignment="1">
      <alignment horizontal="left" vertical="top" wrapText="1"/>
    </xf>
    <xf numFmtId="14" fontId="0" fillId="0" borderId="0" xfId="0" applyNumberFormat="1" applyFill="1"/>
    <xf numFmtId="0" fontId="9" fillId="4" borderId="4"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2" fillId="3" borderId="4" xfId="2" applyBorder="1" applyAlignment="1">
      <alignment horizontal="center"/>
    </xf>
    <xf numFmtId="0" fontId="2" fillId="3" borderId="5" xfId="2" applyBorder="1" applyAlignment="1">
      <alignment horizontal="center"/>
    </xf>
    <xf numFmtId="0" fontId="2" fillId="3" borderId="2" xfId="2" applyBorder="1" applyAlignment="1">
      <alignment horizontal="center"/>
    </xf>
    <xf numFmtId="0" fontId="2" fillId="3" borderId="4" xfId="2" applyBorder="1" applyAlignment="1">
      <alignment horizontal="center" vertical="top" wrapText="1"/>
    </xf>
    <xf numFmtId="0" fontId="2" fillId="3" borderId="5" xfId="2" applyBorder="1" applyAlignment="1">
      <alignment horizontal="center" vertical="top" wrapText="1"/>
    </xf>
    <xf numFmtId="0" fontId="2" fillId="3" borderId="2" xfId="2" applyBorder="1" applyAlignment="1">
      <alignment horizontal="center" vertical="top" wrapText="1"/>
    </xf>
    <xf numFmtId="0" fontId="11" fillId="3" borderId="9" xfId="2" applyFont="1" applyBorder="1" applyAlignment="1">
      <alignment horizontal="center" vertical="top" wrapText="1"/>
    </xf>
    <xf numFmtId="0" fontId="0" fillId="0" borderId="0" xfId="0" applyAlignment="1">
      <alignment wrapText="1"/>
    </xf>
    <xf numFmtId="15" fontId="0" fillId="7" borderId="0" xfId="0" applyNumberFormat="1" applyFill="1"/>
    <xf numFmtId="14" fontId="0" fillId="7" borderId="0" xfId="0" applyNumberFormat="1" applyFill="1"/>
  </cellXfs>
  <cellStyles count="3">
    <cellStyle name="Good" xfId="1" builtinId="26"/>
    <cellStyle name="Neutral" xfId="2" builtinId="28"/>
    <cellStyle name="Normal" xfId="0" builtinId="0"/>
  </cellStyles>
  <dxfs count="4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theme="0" tint="-0.14996795556505021"/>
        </patternFill>
      </fill>
    </dxf>
    <dxf>
      <font>
        <color rgb="FF9C0006"/>
      </font>
      <fill>
        <patternFill>
          <bgColor rgb="FFFFC7CE"/>
        </patternFill>
      </fill>
    </dxf>
    <dxf>
      <font>
        <color rgb="FF006100"/>
      </font>
      <fill>
        <patternFill>
          <bgColor rgb="FFC6EFCE"/>
        </patternFill>
      </fill>
    </dxf>
    <dxf>
      <font>
        <color theme="1"/>
      </font>
      <fill>
        <patternFill>
          <bgColor theme="0" tint="-0.14996795556505021"/>
        </patternFill>
      </fill>
    </dxf>
    <dxf>
      <font>
        <color rgb="FF9C0006"/>
      </font>
      <fill>
        <patternFill>
          <bgColor rgb="FFFFC7CE"/>
        </patternFill>
      </fill>
    </dxf>
    <dxf>
      <font>
        <color rgb="FF006100"/>
      </font>
      <fill>
        <patternFill>
          <bgColor rgb="FFC6EFCE"/>
        </patternFill>
      </fill>
    </dxf>
    <dxf>
      <font>
        <color theme="1"/>
      </font>
      <fill>
        <patternFill>
          <bgColor theme="0" tint="-0.14996795556505021"/>
        </patternFill>
      </fill>
    </dxf>
    <dxf>
      <font>
        <color rgb="FF9C0006"/>
      </font>
      <fill>
        <patternFill>
          <bgColor rgb="FFFFC7CE"/>
        </patternFill>
      </fill>
    </dxf>
    <dxf>
      <font>
        <color rgb="FF006100"/>
      </font>
      <fill>
        <patternFill>
          <bgColor rgb="FFC6EFCE"/>
        </patternFill>
      </fill>
    </dxf>
    <dxf>
      <font>
        <color theme="1"/>
      </font>
      <fill>
        <patternFill>
          <bgColor theme="0" tint="-0.14996795556505021"/>
        </patternFill>
      </fill>
    </dxf>
    <dxf>
      <font>
        <color rgb="FF9C0006"/>
      </font>
      <fill>
        <patternFill>
          <bgColor rgb="FFFFC7CE"/>
        </patternFill>
      </fill>
    </dxf>
    <dxf>
      <font>
        <color rgb="FF006100"/>
      </font>
      <fill>
        <patternFill>
          <bgColor rgb="FFC6EFCE"/>
        </patternFill>
      </fill>
    </dxf>
    <dxf>
      <font>
        <color theme="1"/>
      </font>
      <fill>
        <patternFill>
          <bgColor theme="0" tint="-0.14996795556505021"/>
        </patternFill>
      </fill>
    </dxf>
    <dxf>
      <font>
        <color rgb="FF9C0006"/>
      </font>
      <fill>
        <patternFill>
          <bgColor rgb="FFFFC7CE"/>
        </patternFill>
      </fill>
    </dxf>
    <dxf>
      <font>
        <color rgb="FF006100"/>
      </font>
      <fill>
        <patternFill>
          <bgColor rgb="FFC6EFCE"/>
        </patternFill>
      </fill>
    </dxf>
    <dxf>
      <font>
        <color theme="1"/>
      </font>
      <fill>
        <patternFill>
          <bgColor theme="0" tint="-0.14996795556505021"/>
        </patternFill>
      </fill>
    </dxf>
    <dxf>
      <font>
        <color rgb="FF9C0006"/>
      </font>
      <fill>
        <patternFill>
          <bgColor rgb="FFFFC7CE"/>
        </patternFill>
      </fill>
    </dxf>
    <dxf>
      <font>
        <color rgb="FF006100"/>
      </font>
      <fill>
        <patternFill>
          <bgColor rgb="FFC6EFCE"/>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strike val="0"/>
        <color rgb="FF00B050"/>
      </font>
      <fill>
        <patternFill>
          <bgColor rgb="FFB9FFD9"/>
        </patternFill>
      </fill>
    </dxf>
    <dxf>
      <font>
        <strike val="0"/>
        <color rgb="FF0070C0"/>
      </font>
      <fill>
        <patternFill>
          <bgColor rgb="FFABF7FF"/>
        </patternFill>
      </fill>
    </dxf>
    <dxf>
      <font>
        <strike val="0"/>
        <color rgb="FF927300"/>
      </font>
      <fill>
        <patternFill>
          <bgColor rgb="FFFFFF99"/>
        </patternFill>
      </fill>
    </dxf>
    <dxf>
      <font>
        <b/>
        <i val="0"/>
        <strike val="0"/>
        <color theme="9" tint="-0.24994659260841701"/>
      </font>
      <fill>
        <patternFill>
          <bgColor theme="9" tint="0.59996337778862885"/>
        </patternFill>
      </fill>
    </dxf>
    <dxf>
      <font>
        <b/>
        <i val="0"/>
        <strike val="0"/>
        <color rgb="FFFF0000"/>
      </font>
      <fill>
        <patternFill>
          <bgColor theme="5" tint="0.79998168889431442"/>
        </patternFill>
      </fill>
    </dxf>
    <dxf>
      <font>
        <color rgb="FF0070C0"/>
      </font>
      <fill>
        <patternFill>
          <bgColor theme="8" tint="0.79998168889431442"/>
        </patternFill>
      </fill>
    </dxf>
    <dxf>
      <font>
        <color rgb="FF00B050"/>
      </font>
      <fill>
        <patternFill>
          <bgColor rgb="FFBAFECA"/>
        </patternFill>
      </fill>
    </dxf>
    <dxf>
      <font>
        <b/>
        <i val="0"/>
        <color rgb="FFFF0000"/>
      </font>
      <fill>
        <patternFill>
          <bgColor rgb="FFFFFF99"/>
        </patternFill>
      </fill>
    </dxf>
    <dxf>
      <font>
        <color theme="1"/>
      </font>
      <fill>
        <patternFill>
          <bgColor theme="0" tint="-0.14996795556505021"/>
        </patternFill>
      </fill>
    </dxf>
    <dxf>
      <font>
        <color rgb="FF9C0006"/>
      </font>
      <fill>
        <patternFill>
          <bgColor rgb="FFFFC7CE"/>
        </patternFill>
      </fill>
    </dxf>
    <dxf>
      <font>
        <color rgb="FF006100"/>
      </font>
      <fill>
        <patternFill>
          <bgColor rgb="FFC6EFCE"/>
        </patternFill>
      </fill>
    </dxf>
    <dxf>
      <numFmt numFmtId="2" formatCode="0.00"/>
    </dxf>
    <dxf>
      <numFmt numFmtId="27" formatCode="m/d/yyyy\ h:mm"/>
    </dxf>
    <dxf>
      <numFmt numFmtId="165" formatCode="m/d/yy\ h:mm;@"/>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320040</xdr:colOff>
      <xdr:row>1</xdr:row>
      <xdr:rowOff>30480</xdr:rowOff>
    </xdr:from>
    <xdr:to>
      <xdr:col>7</xdr:col>
      <xdr:colOff>60960</xdr:colOff>
      <xdr:row>12</xdr:row>
      <xdr:rowOff>38100</xdr:rowOff>
    </xdr:to>
    <xdr:sp macro="" textlink="">
      <xdr:nvSpPr>
        <xdr:cNvPr id="4" name="TextBox 3"/>
        <xdr:cNvSpPr txBox="1"/>
      </xdr:nvSpPr>
      <xdr:spPr>
        <a:xfrm>
          <a:off x="1539240" y="213360"/>
          <a:ext cx="2788920"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For CISCO (Ensure connected to CISCO VPN): </a:t>
          </a:r>
        </a:p>
        <a:p>
          <a:r>
            <a:rPr lang="en-US" sz="1100"/>
            <a:t>Manually adjust queries</a:t>
          </a:r>
          <a:r>
            <a:rPr lang="en-US" sz="1100" baseline="0"/>
            <a:t> (in the data connections area) prior to refresh for:</a:t>
          </a:r>
        </a:p>
        <a:p>
          <a:r>
            <a:rPr lang="en-US" sz="1100" smtClean="0">
              <a:solidFill>
                <a:schemeClr val="dk1"/>
              </a:solidFill>
              <a:latin typeface="+mn-lt"/>
              <a:ea typeface="+mn-ea"/>
              <a:cs typeface="+mn-cs"/>
            </a:rPr>
            <a:t>- left(EnterpriseName, 4) = 'XXXX'</a:t>
          </a:r>
        </a:p>
        <a:p>
          <a:r>
            <a:rPr lang="en-US" sz="1100" smtClean="0">
              <a:solidFill>
                <a:schemeClr val="dk1"/>
              </a:solidFill>
              <a:latin typeface="+mn-lt"/>
              <a:ea typeface="+mn-ea"/>
              <a:cs typeface="+mn-cs"/>
            </a:rPr>
            <a:t>- t.CallTypeID in ( , , , )</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Manual</a:t>
          </a:r>
          <a:r>
            <a:rPr lang="en-US" sz="1100" baseline="0" smtClean="0">
              <a:solidFill>
                <a:schemeClr val="dk1"/>
              </a:solidFill>
              <a:latin typeface="+mn-lt"/>
              <a:ea typeface="+mn-ea"/>
              <a:cs typeface="+mn-cs"/>
            </a:rPr>
            <a:t> Script Below:</a:t>
          </a:r>
          <a:endParaRPr lang="en-US" sz="1100" smtClean="0">
            <a:solidFill>
              <a:schemeClr val="dk1"/>
            </a:solidFill>
            <a:latin typeface="+mn-lt"/>
            <a:ea typeface="+mn-ea"/>
            <a:cs typeface="+mn-cs"/>
          </a:endParaRPr>
        </a:p>
      </xdr:txBody>
    </xdr:sp>
    <xdr:clientData/>
  </xdr:twoCellAnchor>
  <xdr:twoCellAnchor>
    <xdr:from>
      <xdr:col>3</xdr:col>
      <xdr:colOff>38100</xdr:colOff>
      <xdr:row>6</xdr:row>
      <xdr:rowOff>160020</xdr:rowOff>
    </xdr:from>
    <xdr:to>
      <xdr:col>6</xdr:col>
      <xdr:colOff>228600</xdr:colOff>
      <xdr:row>10</xdr:row>
      <xdr:rowOff>38100</xdr:rowOff>
    </xdr:to>
    <xdr:sp macro="[0]!CISCO_Refresh" textlink="">
      <xdr:nvSpPr>
        <xdr:cNvPr id="2" name="Rounded Rectangle 1"/>
        <xdr:cNvSpPr/>
      </xdr:nvSpPr>
      <xdr:spPr>
        <a:xfrm>
          <a:off x="1866900" y="1257300"/>
          <a:ext cx="2019300" cy="6096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Refresh CISCO</a:t>
          </a:r>
          <a:r>
            <a:rPr lang="en-US" sz="1100" b="1" baseline="0"/>
            <a:t> Enterprise - SQL Server</a:t>
          </a:r>
          <a:endParaRPr lang="en-US" sz="1100" b="1"/>
        </a:p>
      </xdr:txBody>
    </xdr:sp>
    <xdr:clientData/>
  </xdr:twoCellAnchor>
  <xdr:twoCellAnchor>
    <xdr:from>
      <xdr:col>7</xdr:col>
      <xdr:colOff>457200</xdr:colOff>
      <xdr:row>1</xdr:row>
      <xdr:rowOff>30480</xdr:rowOff>
    </xdr:from>
    <xdr:to>
      <xdr:col>12</xdr:col>
      <xdr:colOff>426720</xdr:colOff>
      <xdr:row>12</xdr:row>
      <xdr:rowOff>38100</xdr:rowOff>
    </xdr:to>
    <xdr:sp macro="" textlink="">
      <xdr:nvSpPr>
        <xdr:cNvPr id="5" name="TextBox 4"/>
        <xdr:cNvSpPr txBox="1"/>
      </xdr:nvSpPr>
      <xdr:spPr>
        <a:xfrm>
          <a:off x="4724400" y="213360"/>
          <a:ext cx="3017520"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1"/>
              </a:solidFill>
            </a:rPr>
            <a:t>For Oracle (Ensure connected to Oracle VPN): </a:t>
          </a:r>
        </a:p>
        <a:p>
          <a:r>
            <a:rPr lang="en-US" sz="1100"/>
            <a:t>Manual</a:t>
          </a:r>
          <a:r>
            <a:rPr lang="en-US" sz="1100" baseline="0"/>
            <a:t> for now - button to be updated when driver is installed. </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Manual</a:t>
          </a:r>
          <a:r>
            <a:rPr lang="en-US" sz="1100" baseline="0">
              <a:solidFill>
                <a:schemeClr val="dk1"/>
              </a:solidFill>
              <a:effectLst/>
              <a:latin typeface="+mn-lt"/>
              <a:ea typeface="+mn-ea"/>
              <a:cs typeface="+mn-cs"/>
            </a:rPr>
            <a:t> Script Below:</a:t>
          </a:r>
          <a:endParaRPr lang="en-US">
            <a:effectLst/>
          </a:endParaRPr>
        </a:p>
      </xdr:txBody>
    </xdr:sp>
    <xdr:clientData/>
  </xdr:twoCellAnchor>
  <xdr:twoCellAnchor>
    <xdr:from>
      <xdr:col>8</xdr:col>
      <xdr:colOff>358140</xdr:colOff>
      <xdr:row>6</xdr:row>
      <xdr:rowOff>144780</xdr:rowOff>
    </xdr:from>
    <xdr:to>
      <xdr:col>11</xdr:col>
      <xdr:colOff>548640</xdr:colOff>
      <xdr:row>10</xdr:row>
      <xdr:rowOff>22860</xdr:rowOff>
    </xdr:to>
    <xdr:sp macro="" textlink="">
      <xdr:nvSpPr>
        <xdr:cNvPr id="3" name="Rounded Rectangle 2"/>
        <xdr:cNvSpPr/>
      </xdr:nvSpPr>
      <xdr:spPr>
        <a:xfrm>
          <a:off x="5234940" y="1242060"/>
          <a:ext cx="2019300" cy="609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Refresh Decision Point - Oracle</a:t>
          </a:r>
        </a:p>
      </xdr:txBody>
    </xdr:sp>
    <xdr:clientData/>
  </xdr:twoCellAnchor>
  <xdr:twoCellAnchor>
    <xdr:from>
      <xdr:col>2</xdr:col>
      <xdr:colOff>304800</xdr:colOff>
      <xdr:row>12</xdr:row>
      <xdr:rowOff>68580</xdr:rowOff>
    </xdr:from>
    <xdr:to>
      <xdr:col>7</xdr:col>
      <xdr:colOff>60960</xdr:colOff>
      <xdr:row>15</xdr:row>
      <xdr:rowOff>83820</xdr:rowOff>
    </xdr:to>
    <xdr:sp macro="" textlink="">
      <xdr:nvSpPr>
        <xdr:cNvPr id="6" name="TextBox 5"/>
        <xdr:cNvSpPr txBox="1"/>
      </xdr:nvSpPr>
      <xdr:spPr>
        <a:xfrm>
          <a:off x="1524000" y="2263140"/>
          <a:ext cx="2804160" cy="563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smtClean="0">
              <a:solidFill>
                <a:schemeClr val="dk1"/>
              </a:solidFill>
              <a:latin typeface="+mn-lt"/>
              <a:ea typeface="+mn-ea"/>
              <a:cs typeface="+mn-cs"/>
            </a:rPr>
            <a:t>/***********************************************</a:t>
          </a:r>
        </a:p>
        <a:p>
          <a:r>
            <a:rPr lang="en-US" sz="1100" smtClean="0">
              <a:solidFill>
                <a:schemeClr val="dk1"/>
              </a:solidFill>
              <a:latin typeface="+mn-lt"/>
              <a:ea typeface="+mn-ea"/>
              <a:cs typeface="+mn-cs"/>
            </a:rPr>
            <a:t>Rule Validation Script - Run on Cisco SQL Server</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Changes Needed: </a:t>
          </a:r>
        </a:p>
        <a:p>
          <a:r>
            <a:rPr lang="en-US" sz="1100" smtClean="0">
              <a:solidFill>
                <a:schemeClr val="dk1"/>
              </a:solidFill>
              <a:latin typeface="+mn-lt"/>
              <a:ea typeface="+mn-ea"/>
              <a:cs typeface="+mn-cs"/>
            </a:rPr>
            <a:t>- Update Variable</a:t>
          </a:r>
        </a:p>
        <a:p>
          <a:r>
            <a:rPr lang="en-US" sz="1100" smtClean="0">
              <a:solidFill>
                <a:schemeClr val="dk1"/>
              </a:solidFill>
              <a:latin typeface="+mn-lt"/>
              <a:ea typeface="+mn-ea"/>
              <a:cs typeface="+mn-cs"/>
            </a:rPr>
            <a:t>- Manually update the active queues below</a:t>
          </a:r>
        </a:p>
        <a:p>
          <a:r>
            <a:rPr lang="en-US" sz="1100" smtClean="0">
              <a:solidFill>
                <a:schemeClr val="dk1"/>
              </a:solidFill>
              <a:latin typeface="+mn-lt"/>
              <a:ea typeface="+mn-ea"/>
              <a:cs typeface="+mn-cs"/>
            </a:rPr>
            <a:t>**************************************************/</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--Drop Table ##ActiveQueues</a:t>
          </a:r>
        </a:p>
        <a:p>
          <a:r>
            <a:rPr lang="en-US" sz="1100" smtClean="0">
              <a:solidFill>
                <a:schemeClr val="dk1"/>
              </a:solidFill>
              <a:latin typeface="+mn-lt"/>
              <a:ea typeface="+mn-ea"/>
              <a:cs typeface="+mn-cs"/>
            </a:rPr>
            <a:t>Create Table ##ActiveQueues</a:t>
          </a:r>
        </a:p>
        <a:p>
          <a:r>
            <a:rPr lang="en-US" sz="1100" smtClean="0">
              <a:solidFill>
                <a:schemeClr val="dk1"/>
              </a:solidFill>
              <a:latin typeface="+mn-lt"/>
              <a:ea typeface="+mn-ea"/>
              <a:cs typeface="+mn-cs"/>
            </a:rPr>
            <a:t>(CallTypeIDintnot null unique)</a:t>
          </a:r>
        </a:p>
        <a:p>
          <a:r>
            <a:rPr lang="en-US" sz="1100" smtClean="0">
              <a:solidFill>
                <a:schemeClr val="dk1"/>
              </a:solidFill>
              <a:latin typeface="+mn-lt"/>
              <a:ea typeface="+mn-ea"/>
              <a:cs typeface="+mn-cs"/>
            </a:rPr>
            <a:t>Truncate Table ##ActiveQueues</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--Manually Insert Active Queues</a:t>
          </a:r>
        </a:p>
        <a:p>
          <a:r>
            <a:rPr lang="en-US" sz="1100" smtClean="0">
              <a:solidFill>
                <a:schemeClr val="dk1"/>
              </a:solidFill>
              <a:latin typeface="+mn-lt"/>
              <a:ea typeface="+mn-ea"/>
              <a:cs typeface="+mn-cs"/>
            </a:rPr>
            <a:t>Insert Into ##ActiveQueues Values (6031)</a:t>
          </a:r>
        </a:p>
        <a:p>
          <a:r>
            <a:rPr lang="en-US" sz="1100" smtClean="0">
              <a:solidFill>
                <a:schemeClr val="dk1"/>
              </a:solidFill>
              <a:latin typeface="+mn-lt"/>
              <a:ea typeface="+mn-ea"/>
              <a:cs typeface="+mn-cs"/>
            </a:rPr>
            <a:t>Insert Into ##ActiveQueues Values (6033)</a:t>
          </a:r>
        </a:p>
        <a:p>
          <a:r>
            <a:rPr lang="en-US" sz="1100" smtClean="0">
              <a:solidFill>
                <a:schemeClr val="dk1"/>
              </a:solidFill>
              <a:latin typeface="+mn-lt"/>
              <a:ea typeface="+mn-ea"/>
              <a:cs typeface="+mn-cs"/>
            </a:rPr>
            <a:t>Insert Into ##ActiveQueues Values (6034)</a:t>
          </a:r>
        </a:p>
        <a:p>
          <a:r>
            <a:rPr lang="en-US" sz="1100" smtClean="0">
              <a:solidFill>
                <a:schemeClr val="dk1"/>
              </a:solidFill>
              <a:latin typeface="+mn-lt"/>
              <a:ea typeface="+mn-ea"/>
              <a:cs typeface="+mn-cs"/>
            </a:rPr>
            <a:t>Insert Into ##ActiveQueues Values (6039)</a:t>
          </a:r>
        </a:p>
        <a:p>
          <a:r>
            <a:rPr lang="en-US" sz="1100" smtClean="0">
              <a:solidFill>
                <a:schemeClr val="dk1"/>
              </a:solidFill>
              <a:latin typeface="+mn-lt"/>
              <a:ea typeface="+mn-ea"/>
              <a:cs typeface="+mn-cs"/>
            </a:rPr>
            <a:t>Insert Into ##ActiveQueues Values (6040)</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Go</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--Update Variable</a:t>
          </a:r>
        </a:p>
        <a:p>
          <a:r>
            <a:rPr lang="en-US" sz="1100" smtClean="0">
              <a:solidFill>
                <a:schemeClr val="dk1"/>
              </a:solidFill>
              <a:latin typeface="+mn-lt"/>
              <a:ea typeface="+mn-ea"/>
              <a:cs typeface="+mn-cs"/>
            </a:rPr>
            <a:t>Declare @EntName as varchar(4) = 'IDBO'</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--CF1CONFIGURATION ACD Call Types</a:t>
          </a:r>
        </a:p>
        <a:p>
          <a:r>
            <a:rPr lang="en-US" sz="1100" smtClean="0">
              <a:solidFill>
                <a:schemeClr val="dk1"/>
              </a:solidFill>
              <a:latin typeface="+mn-lt"/>
              <a:ea typeface="+mn-ea"/>
              <a:cs typeface="+mn-cs"/>
            </a:rPr>
            <a:t>select 'CF1' as TestNo</a:t>
          </a:r>
        </a:p>
        <a:p>
          <a:r>
            <a:rPr lang="en-US" sz="1100" smtClean="0">
              <a:solidFill>
                <a:schemeClr val="dk1"/>
              </a:solidFill>
              <a:latin typeface="+mn-lt"/>
              <a:ea typeface="+mn-ea"/>
              <a:cs typeface="+mn-cs"/>
            </a:rPr>
            <a:t>,CallTypeID, EnterpriseName, CONVERT(varchar(11), DateTimeStamp, 101)DateAdded</a:t>
          </a:r>
        </a:p>
        <a:p>
          <a:r>
            <a:rPr lang="en-US" sz="1100" smtClean="0">
              <a:solidFill>
                <a:schemeClr val="dk1"/>
              </a:solidFill>
              <a:latin typeface="+mn-lt"/>
              <a:ea typeface="+mn-ea"/>
              <a:cs typeface="+mn-cs"/>
            </a:rPr>
            <a:t>from maxco_awdb.dbo.Call_Type </a:t>
          </a:r>
        </a:p>
        <a:p>
          <a:r>
            <a:rPr lang="en-US" sz="1100" smtClean="0">
              <a:solidFill>
                <a:schemeClr val="dk1"/>
              </a:solidFill>
              <a:latin typeface="+mn-lt"/>
              <a:ea typeface="+mn-ea"/>
              <a:cs typeface="+mn-cs"/>
            </a:rPr>
            <a:t>where left(EnterpriseName, 4) = @EntName</a:t>
          </a:r>
        </a:p>
        <a:p>
          <a:r>
            <a:rPr lang="en-US" sz="1100" smtClean="0">
              <a:solidFill>
                <a:schemeClr val="dk1"/>
              </a:solidFill>
              <a:latin typeface="+mn-lt"/>
              <a:ea typeface="+mn-ea"/>
              <a:cs typeface="+mn-cs"/>
            </a:rPr>
            <a:t>order by 2, 4</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--PP4PROD PLANNING ACD Extract Logic</a:t>
          </a:r>
        </a:p>
        <a:p>
          <a:r>
            <a:rPr lang="en-US" sz="1100" smtClean="0">
              <a:solidFill>
                <a:schemeClr val="dk1"/>
              </a:solidFill>
              <a:latin typeface="+mn-lt"/>
              <a:ea typeface="+mn-ea"/>
              <a:cs typeface="+mn-cs"/>
            </a:rPr>
            <a:t>select 'PP4' as TestNo</a:t>
          </a:r>
        </a:p>
        <a:p>
          <a:r>
            <a:rPr lang="en-US" sz="1100" smtClean="0">
              <a:solidFill>
                <a:schemeClr val="dk1"/>
              </a:solidFill>
              <a:latin typeface="+mn-lt"/>
              <a:ea typeface="+mn-ea"/>
              <a:cs typeface="+mn-cs"/>
            </a:rPr>
            <a:t>,CONVERT(varchar(11), i.DateTime, 101) as Date, t.CallTypeID, t.EnterpriseName</a:t>
          </a:r>
        </a:p>
        <a:p>
          <a:r>
            <a:rPr lang="en-US" sz="1100" smtClean="0">
              <a:solidFill>
                <a:schemeClr val="dk1"/>
              </a:solidFill>
              <a:latin typeface="+mn-lt"/>
              <a:ea typeface="+mn-ea"/>
              <a:cs typeface="+mn-cs"/>
            </a:rPr>
            <a:t>,sum(i.CallsOffered) as Offered, sum(i.CallsHandled) as Handle, </a:t>
          </a:r>
        </a:p>
        <a:p>
          <a:r>
            <a:rPr lang="en-US" sz="1100" smtClean="0">
              <a:solidFill>
                <a:schemeClr val="dk1"/>
              </a:solidFill>
              <a:latin typeface="+mn-lt"/>
              <a:ea typeface="+mn-ea"/>
              <a:cs typeface="+mn-cs"/>
            </a:rPr>
            <a:t>sum(i.CallsOffered) - sum(i.CallsHandled) as CalcAband, sum(i.TotalCallsAband) TotAband </a:t>
          </a:r>
        </a:p>
        <a:p>
          <a:r>
            <a:rPr lang="en-US" sz="1100" smtClean="0">
              <a:solidFill>
                <a:schemeClr val="dk1"/>
              </a:solidFill>
              <a:latin typeface="+mn-lt"/>
              <a:ea typeface="+mn-ea"/>
              <a:cs typeface="+mn-cs"/>
            </a:rPr>
            <a:t>from maxco_awdb.dbo.Call_Type_Interval i </a:t>
          </a:r>
        </a:p>
        <a:p>
          <a:r>
            <a:rPr lang="en-US" sz="1100" smtClean="0">
              <a:solidFill>
                <a:schemeClr val="dk1"/>
              </a:solidFill>
              <a:latin typeface="+mn-lt"/>
              <a:ea typeface="+mn-ea"/>
              <a:cs typeface="+mn-cs"/>
            </a:rPr>
            <a:t>join </a:t>
          </a:r>
        </a:p>
        <a:p>
          <a:r>
            <a:rPr lang="en-US" sz="1100" smtClean="0">
              <a:solidFill>
                <a:schemeClr val="dk1"/>
              </a:solidFill>
              <a:latin typeface="+mn-lt"/>
              <a:ea typeface="+mn-ea"/>
              <a:cs typeface="+mn-cs"/>
            </a:rPr>
            <a:t>maxco_awdb.dbo.Call_Type t </a:t>
          </a:r>
        </a:p>
        <a:p>
          <a:r>
            <a:rPr lang="en-US" sz="1100" smtClean="0">
              <a:solidFill>
                <a:schemeClr val="dk1"/>
              </a:solidFill>
              <a:latin typeface="+mn-lt"/>
              <a:ea typeface="+mn-ea"/>
              <a:cs typeface="+mn-cs"/>
            </a:rPr>
            <a:t>on t.CallTypeID = i.CallTypeID </a:t>
          </a:r>
        </a:p>
        <a:p>
          <a:r>
            <a:rPr lang="en-US" sz="1100" smtClean="0">
              <a:solidFill>
                <a:schemeClr val="dk1"/>
              </a:solidFill>
              <a:latin typeface="+mn-lt"/>
              <a:ea typeface="+mn-ea"/>
              <a:cs typeface="+mn-cs"/>
            </a:rPr>
            <a:t>where convert(date, [DateTime]) between '2015-01-13' and convert(date, getdate())</a:t>
          </a:r>
        </a:p>
        <a:p>
          <a:r>
            <a:rPr lang="en-US" sz="1100" smtClean="0">
              <a:solidFill>
                <a:schemeClr val="dk1"/>
              </a:solidFill>
              <a:latin typeface="+mn-lt"/>
              <a:ea typeface="+mn-ea"/>
              <a:cs typeface="+mn-cs"/>
            </a:rPr>
            <a:t>and i.CallTypeID in (select CallTypeID from ##ActiveQueues)</a:t>
          </a:r>
        </a:p>
        <a:p>
          <a:r>
            <a:rPr lang="en-US" sz="1100" smtClean="0">
              <a:solidFill>
                <a:schemeClr val="dk1"/>
              </a:solidFill>
              <a:latin typeface="+mn-lt"/>
              <a:ea typeface="+mn-ea"/>
              <a:cs typeface="+mn-cs"/>
            </a:rPr>
            <a:t>group by  CONVERT(varchar(11), i.DateTime, 101), t.CallTypeID, t.EnterpriseName </a:t>
          </a:r>
        </a:p>
        <a:p>
          <a:r>
            <a:rPr lang="en-US" sz="1100" smtClean="0">
              <a:solidFill>
                <a:schemeClr val="dk1"/>
              </a:solidFill>
              <a:latin typeface="+mn-lt"/>
              <a:ea typeface="+mn-ea"/>
              <a:cs typeface="+mn-cs"/>
            </a:rPr>
            <a:t>order by 3,2</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--PP7PROD PLANNING ACD Extract Logic</a:t>
          </a:r>
        </a:p>
        <a:p>
          <a:r>
            <a:rPr lang="en-US" sz="1100" smtClean="0">
              <a:solidFill>
                <a:schemeClr val="dk1"/>
              </a:solidFill>
              <a:latin typeface="+mn-lt"/>
              <a:ea typeface="+mn-ea"/>
              <a:cs typeface="+mn-cs"/>
            </a:rPr>
            <a:t>select 'PP7' as TestNo</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DateTime,t.CallTypeID,t.EnterpriseName,i.HandleTime,i.CallsHandled,</a:t>
          </a:r>
        </a:p>
        <a:p>
          <a:r>
            <a:rPr lang="en-US" sz="1100" smtClean="0">
              <a:solidFill>
                <a:schemeClr val="dk1"/>
              </a:solidFill>
              <a:latin typeface="+mn-lt"/>
              <a:ea typeface="+mn-ea"/>
              <a:cs typeface="+mn-cs"/>
            </a:rPr>
            <a:t>case when i.CallsHandled = 0 then 0 else round((cast(i.HandleTime as float)/ cast(i.CallsHandled as float)),2) end as aht</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--PP8PROD PLANNING ACD Extract Logic</a:t>
          </a:r>
        </a:p>
        <a:p>
          <a:r>
            <a:rPr lang="en-US" sz="1100" smtClean="0">
              <a:solidFill>
                <a:schemeClr val="dk1"/>
              </a:solidFill>
              <a:latin typeface="+mn-lt"/>
              <a:ea typeface="+mn-ea"/>
              <a:cs typeface="+mn-cs"/>
            </a:rPr>
            <a:t>select 'PP8' as TestNo </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DateTime,t.CallTypeID,t.EnterpriseName,i.AnswerWaitTime,i.CallsAnswered,</a:t>
          </a:r>
        </a:p>
        <a:p>
          <a:r>
            <a:rPr lang="en-US" sz="1100" smtClean="0">
              <a:solidFill>
                <a:schemeClr val="dk1"/>
              </a:solidFill>
              <a:latin typeface="+mn-lt"/>
              <a:ea typeface="+mn-ea"/>
              <a:cs typeface="+mn-cs"/>
            </a:rPr>
            <a:t>case when i.CallsAnswered = 0 then 0 else round((cast(i.AnswerWaitTime as float)/ cast(i.CallsAnswered as float)),2) end as asa, i.RouterQueueWaitTime</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--PP9PROD PLANNING ACD Extract Logic</a:t>
          </a:r>
        </a:p>
        <a:p>
          <a:r>
            <a:rPr lang="en-US" sz="1100" smtClean="0">
              <a:solidFill>
                <a:schemeClr val="dk1"/>
              </a:solidFill>
              <a:latin typeface="+mn-lt"/>
              <a:ea typeface="+mn-ea"/>
              <a:cs typeface="+mn-cs"/>
            </a:rPr>
            <a:t>select 'PP9' as TestNo </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DateTime,t.CallTypeID,t.EnterpriseName,i.AnswerWaitTime</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--PP10PROD PLANNING ACD Extract Logic</a:t>
          </a:r>
        </a:p>
        <a:p>
          <a:r>
            <a:rPr lang="en-US" sz="1100" smtClean="0">
              <a:solidFill>
                <a:schemeClr val="dk1"/>
              </a:solidFill>
              <a:latin typeface="+mn-lt"/>
              <a:ea typeface="+mn-ea"/>
              <a:cs typeface="+mn-cs"/>
            </a:rPr>
            <a:t>select 'PP10' as TestNo </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DateTime,t.CallTypeID,t.EnterpriseName,i.CallDelayAbandTime</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--PP11PROD PLANNING ACD Extract Logic</a:t>
          </a:r>
        </a:p>
        <a:p>
          <a:r>
            <a:rPr lang="en-US" sz="1100" smtClean="0">
              <a:solidFill>
                <a:schemeClr val="dk1"/>
              </a:solidFill>
              <a:latin typeface="+mn-lt"/>
              <a:ea typeface="+mn-ea"/>
              <a:cs typeface="+mn-cs"/>
            </a:rPr>
            <a:t>select 'PP11' as TestNo </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DateTime,t.CallTypeID,t.EnterpriseName,i.TalkTime</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--PP12PROD PLANNING ACD Extract Logic</a:t>
          </a:r>
        </a:p>
        <a:p>
          <a:r>
            <a:rPr lang="en-US" sz="1100" smtClean="0">
              <a:solidFill>
                <a:schemeClr val="dk1"/>
              </a:solidFill>
              <a:latin typeface="+mn-lt"/>
              <a:ea typeface="+mn-ea"/>
              <a:cs typeface="+mn-cs"/>
            </a:rPr>
            <a:t>select 'PP12' as TestNo </a:t>
          </a:r>
        </a:p>
        <a:p>
          <a:r>
            <a:rPr lang="en-US" sz="1100" smtClean="0">
              <a:solidFill>
                <a:schemeClr val="dk1"/>
              </a:solidFill>
              <a:latin typeface="+mn-lt"/>
              <a:ea typeface="+mn-ea"/>
              <a:cs typeface="+mn-cs"/>
            </a:rPr>
            <a:t>, 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DateTime,t.CallTypeID,t.EnterpriseName,i.HandleTime - i.HoldTime - i.TalkTime as calc_wrap_time</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--PP13PROD PLANNING ACD Extract Logic</a:t>
          </a:r>
        </a:p>
        <a:p>
          <a:r>
            <a:rPr lang="en-US" sz="1100" smtClean="0">
              <a:solidFill>
                <a:schemeClr val="dk1"/>
              </a:solidFill>
              <a:latin typeface="+mn-lt"/>
              <a:ea typeface="+mn-ea"/>
              <a:cs typeface="+mn-cs"/>
            </a:rPr>
            <a:t>select 'PP13' as TestNo </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DateTime,t.CallTypeID,t.EnterpriseName,i.HoldTime</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--PP14PROD PLANNING ACD Extract Logic</a:t>
          </a:r>
        </a:p>
        <a:p>
          <a:r>
            <a:rPr lang="en-US" sz="1100" smtClean="0">
              <a:solidFill>
                <a:schemeClr val="dk1"/>
              </a:solidFill>
              <a:latin typeface="+mn-lt"/>
              <a:ea typeface="+mn-ea"/>
              <a:cs typeface="+mn-cs"/>
            </a:rPr>
            <a:t>select 'PP14' as TestNo</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DateTime,t.CallTypeID,t.EnterpriseName,i.AbandInterval1</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--PP15PROD PLANNING ACD Extract Logic</a:t>
          </a:r>
        </a:p>
        <a:p>
          <a:r>
            <a:rPr lang="en-US" sz="1100" smtClean="0">
              <a:solidFill>
                <a:schemeClr val="dk1"/>
              </a:solidFill>
              <a:latin typeface="+mn-lt"/>
              <a:ea typeface="+mn-ea"/>
              <a:cs typeface="+mn-cs"/>
            </a:rPr>
            <a:t>select 'PP15' as TestNo</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a:t>
          </a:r>
        </a:p>
        <a:p>
          <a:r>
            <a:rPr lang="en-US" sz="1100" smtClean="0">
              <a:solidFill>
                <a:schemeClr val="dk1"/>
              </a:solidFill>
              <a:latin typeface="+mn-lt"/>
              <a:ea typeface="+mn-ea"/>
              <a:cs typeface="+mn-cs"/>
            </a:rPr>
            <a:t>,t.CallTypeID,t.EnterpriseName, ICRDefaultRouted + NetworkDefaultRouted + ReturnBusy + ReturnRing + CallsRONA</a:t>
          </a:r>
        </a:p>
        <a:p>
          <a:r>
            <a:rPr lang="en-US" sz="1100" smtClean="0">
              <a:solidFill>
                <a:schemeClr val="dk1"/>
              </a:solidFill>
              <a:latin typeface="+mn-lt"/>
              <a:ea typeface="+mn-ea"/>
              <a:cs typeface="+mn-cs"/>
            </a:rPr>
            <a:t>+ ReturnRelease + CallsRoutedNonAgent + ErrorCount + AgentErrorCount + OverflowOut + IncompleteCalls  as sysout</a:t>
          </a:r>
        </a:p>
        <a:p>
          <a:r>
            <a:rPr lang="en-US" sz="1100" smtClean="0">
              <a:solidFill>
                <a:schemeClr val="dk1"/>
              </a:solidFill>
              <a:latin typeface="+mn-lt"/>
              <a:ea typeface="+mn-ea"/>
              <a:cs typeface="+mn-cs"/>
            </a:rPr>
            <a:t>from maxco_awdb.dbo.Call_Type_Interval i inner join maxco_awdb.dbo.Call_Type t on t.CallTypeID = i.CallTypeID where </a:t>
          </a:r>
        </a:p>
        <a:p>
          <a:r>
            <a:rPr lang="en-US" sz="1100" smtClean="0">
              <a:solidFill>
                <a:schemeClr val="dk1"/>
              </a:solidFill>
              <a:latin typeface="+mn-lt"/>
              <a:ea typeface="+mn-ea"/>
              <a:cs typeface="+mn-cs"/>
            </a:rPr>
            <a:t>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r>
            <a:rPr lang="en-US" sz="1100" smtClean="0">
              <a:solidFill>
                <a:schemeClr val="dk1"/>
              </a:solidFill>
              <a:latin typeface="+mn-lt"/>
              <a:ea typeface="+mn-ea"/>
              <a:cs typeface="+mn-cs"/>
            </a:rPr>
            <a:t>*/</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--PP7 - PP15 Consolidated</a:t>
          </a:r>
        </a:p>
        <a:p>
          <a:r>
            <a:rPr lang="en-US" sz="1100" smtClean="0">
              <a:solidFill>
                <a:schemeClr val="dk1"/>
              </a:solidFill>
              <a:latin typeface="+mn-lt"/>
              <a:ea typeface="+mn-ea"/>
              <a:cs typeface="+mn-cs"/>
            </a:rPr>
            <a:t>select 'PP7 - PP15' as TestNo</a:t>
          </a:r>
        </a:p>
        <a:p>
          <a:r>
            <a:rPr lang="en-US" sz="1100" smtClean="0">
              <a:solidFill>
                <a:schemeClr val="dk1"/>
              </a:solidFill>
              <a:latin typeface="+mn-lt"/>
              <a:ea typeface="+mn-ea"/>
              <a:cs typeface="+mn-cs"/>
            </a:rPr>
            <a:t>,Convert(char,CAST(SWITCHOFFSET(TODATETIMEOFFSET(i.DateTime, -360), '-04:00') as datetime),101) as [Date]</a:t>
          </a:r>
        </a:p>
        <a:p>
          <a:r>
            <a:rPr lang="en-US" sz="1100" smtClean="0">
              <a:solidFill>
                <a:schemeClr val="dk1"/>
              </a:solidFill>
              <a:latin typeface="+mn-lt"/>
              <a:ea typeface="+mn-ea"/>
              <a:cs typeface="+mn-cs"/>
            </a:rPr>
            <a:t>,CAST(SWITCHOFFSET(TODATETIMEOFFSET(i.DateTime, -360), '-04:00') as datetime) [DateTime]</a:t>
          </a:r>
        </a:p>
        <a:p>
          <a:r>
            <a:rPr lang="en-US" sz="1100" smtClean="0">
              <a:solidFill>
                <a:schemeClr val="dk1"/>
              </a:solidFill>
              <a:latin typeface="+mn-lt"/>
              <a:ea typeface="+mn-ea"/>
              <a:cs typeface="+mn-cs"/>
            </a:rPr>
            <a:t>,t.CallTypeID</a:t>
          </a:r>
        </a:p>
        <a:p>
          <a:r>
            <a:rPr lang="en-US" sz="1100" smtClean="0">
              <a:solidFill>
                <a:schemeClr val="dk1"/>
              </a:solidFill>
              <a:latin typeface="+mn-lt"/>
              <a:ea typeface="+mn-ea"/>
              <a:cs typeface="+mn-cs"/>
            </a:rPr>
            <a:t>,t.EnterpriseName</a:t>
          </a:r>
        </a:p>
        <a:p>
          <a:r>
            <a:rPr lang="en-US" sz="1100" smtClean="0">
              <a:solidFill>
                <a:schemeClr val="dk1"/>
              </a:solidFill>
              <a:latin typeface="+mn-lt"/>
              <a:ea typeface="+mn-ea"/>
              <a:cs typeface="+mn-cs"/>
            </a:rPr>
            <a:t>,i.HandleTime</a:t>
          </a:r>
        </a:p>
        <a:p>
          <a:r>
            <a:rPr lang="en-US" sz="1100" smtClean="0">
              <a:solidFill>
                <a:schemeClr val="dk1"/>
              </a:solidFill>
              <a:latin typeface="+mn-lt"/>
              <a:ea typeface="+mn-ea"/>
              <a:cs typeface="+mn-cs"/>
            </a:rPr>
            <a:t>,i.CallsHandled</a:t>
          </a:r>
        </a:p>
        <a:p>
          <a:r>
            <a:rPr lang="en-US" sz="1100" smtClean="0">
              <a:solidFill>
                <a:schemeClr val="dk1"/>
              </a:solidFill>
              <a:latin typeface="+mn-lt"/>
              <a:ea typeface="+mn-ea"/>
              <a:cs typeface="+mn-cs"/>
            </a:rPr>
            <a:t>,case when i.CallsHandled = 0 then 0 else round((cast(i.HandleTime as float)/ cast(i.CallsHandled as float)),2) end as AHT</a:t>
          </a:r>
        </a:p>
        <a:p>
          <a:r>
            <a:rPr lang="en-US" sz="1100" smtClean="0">
              <a:solidFill>
                <a:schemeClr val="dk1"/>
              </a:solidFill>
              <a:latin typeface="+mn-lt"/>
              <a:ea typeface="+mn-ea"/>
              <a:cs typeface="+mn-cs"/>
            </a:rPr>
            <a:t>--PP8</a:t>
          </a:r>
        </a:p>
        <a:p>
          <a:r>
            <a:rPr lang="en-US" sz="1100" smtClean="0">
              <a:solidFill>
                <a:schemeClr val="dk1"/>
              </a:solidFill>
              <a:latin typeface="+mn-lt"/>
              <a:ea typeface="+mn-ea"/>
              <a:cs typeface="+mn-cs"/>
            </a:rPr>
            <a:t>,i.AnswerWaitTime</a:t>
          </a:r>
        </a:p>
        <a:p>
          <a:r>
            <a:rPr lang="en-US" sz="1100" smtClean="0">
              <a:solidFill>
                <a:schemeClr val="dk1"/>
              </a:solidFill>
              <a:latin typeface="+mn-lt"/>
              <a:ea typeface="+mn-ea"/>
              <a:cs typeface="+mn-cs"/>
            </a:rPr>
            <a:t>,i.CallsAnswered</a:t>
          </a:r>
        </a:p>
        <a:p>
          <a:r>
            <a:rPr lang="en-US" sz="1100" smtClean="0">
              <a:solidFill>
                <a:schemeClr val="dk1"/>
              </a:solidFill>
              <a:latin typeface="+mn-lt"/>
              <a:ea typeface="+mn-ea"/>
              <a:cs typeface="+mn-cs"/>
            </a:rPr>
            <a:t>,case when i.CallsAnswered = 0 then 0 else round((cast(i.AnswerWaitTime as float)/ cast(i.CallsAnswered as float)),2) end as ASA</a:t>
          </a:r>
        </a:p>
        <a:p>
          <a:r>
            <a:rPr lang="en-US" sz="1100" smtClean="0">
              <a:solidFill>
                <a:schemeClr val="dk1"/>
              </a:solidFill>
              <a:latin typeface="+mn-lt"/>
              <a:ea typeface="+mn-ea"/>
              <a:cs typeface="+mn-cs"/>
            </a:rPr>
            <a:t>,i.RouterQueueWaitTime</a:t>
          </a:r>
        </a:p>
        <a:p>
          <a:r>
            <a:rPr lang="en-US" sz="1100" smtClean="0">
              <a:solidFill>
                <a:schemeClr val="dk1"/>
              </a:solidFill>
              <a:latin typeface="+mn-lt"/>
              <a:ea typeface="+mn-ea"/>
              <a:cs typeface="+mn-cs"/>
            </a:rPr>
            <a:t>--PP9 (Redundant)</a:t>
          </a:r>
        </a:p>
        <a:p>
          <a:r>
            <a:rPr lang="en-US" sz="1100" smtClean="0">
              <a:solidFill>
                <a:schemeClr val="dk1"/>
              </a:solidFill>
              <a:latin typeface="+mn-lt"/>
              <a:ea typeface="+mn-ea"/>
              <a:cs typeface="+mn-cs"/>
            </a:rPr>
            <a:t>--,i.AnswerWaitTime</a:t>
          </a:r>
        </a:p>
        <a:p>
          <a:r>
            <a:rPr lang="en-US" sz="1100" smtClean="0">
              <a:solidFill>
                <a:schemeClr val="dk1"/>
              </a:solidFill>
              <a:latin typeface="+mn-lt"/>
              <a:ea typeface="+mn-ea"/>
              <a:cs typeface="+mn-cs"/>
            </a:rPr>
            <a:t>--PP10</a:t>
          </a:r>
        </a:p>
        <a:p>
          <a:r>
            <a:rPr lang="en-US" sz="1100" smtClean="0">
              <a:solidFill>
                <a:schemeClr val="dk1"/>
              </a:solidFill>
              <a:latin typeface="+mn-lt"/>
              <a:ea typeface="+mn-ea"/>
              <a:cs typeface="+mn-cs"/>
            </a:rPr>
            <a:t>,i.CallDelayAbandTime</a:t>
          </a:r>
        </a:p>
        <a:p>
          <a:r>
            <a:rPr lang="en-US" sz="1100" smtClean="0">
              <a:solidFill>
                <a:schemeClr val="dk1"/>
              </a:solidFill>
              <a:latin typeface="+mn-lt"/>
              <a:ea typeface="+mn-ea"/>
              <a:cs typeface="+mn-cs"/>
            </a:rPr>
            <a:t>--PP11</a:t>
          </a:r>
        </a:p>
        <a:p>
          <a:r>
            <a:rPr lang="en-US" sz="1100" smtClean="0">
              <a:solidFill>
                <a:schemeClr val="dk1"/>
              </a:solidFill>
              <a:latin typeface="+mn-lt"/>
              <a:ea typeface="+mn-ea"/>
              <a:cs typeface="+mn-cs"/>
            </a:rPr>
            <a:t>,i.TalkTime</a:t>
          </a:r>
        </a:p>
        <a:p>
          <a:r>
            <a:rPr lang="en-US" sz="1100" smtClean="0">
              <a:solidFill>
                <a:schemeClr val="dk1"/>
              </a:solidFill>
              <a:latin typeface="+mn-lt"/>
              <a:ea typeface="+mn-ea"/>
              <a:cs typeface="+mn-cs"/>
            </a:rPr>
            <a:t>--PP12</a:t>
          </a:r>
        </a:p>
        <a:p>
          <a:r>
            <a:rPr lang="en-US" sz="1100" smtClean="0">
              <a:solidFill>
                <a:schemeClr val="dk1"/>
              </a:solidFill>
              <a:latin typeface="+mn-lt"/>
              <a:ea typeface="+mn-ea"/>
              <a:cs typeface="+mn-cs"/>
            </a:rPr>
            <a:t>,i.HandleTime - i.HoldTime - i.TalkTime as Calc_Wrap</a:t>
          </a:r>
        </a:p>
        <a:p>
          <a:r>
            <a:rPr lang="en-US" sz="1100" smtClean="0">
              <a:solidFill>
                <a:schemeClr val="dk1"/>
              </a:solidFill>
              <a:latin typeface="+mn-lt"/>
              <a:ea typeface="+mn-ea"/>
              <a:cs typeface="+mn-cs"/>
            </a:rPr>
            <a:t>--PP13</a:t>
          </a:r>
        </a:p>
        <a:p>
          <a:r>
            <a:rPr lang="en-US" sz="1100" smtClean="0">
              <a:solidFill>
                <a:schemeClr val="dk1"/>
              </a:solidFill>
              <a:latin typeface="+mn-lt"/>
              <a:ea typeface="+mn-ea"/>
              <a:cs typeface="+mn-cs"/>
            </a:rPr>
            <a:t>,i.HoldTime</a:t>
          </a:r>
        </a:p>
        <a:p>
          <a:r>
            <a:rPr lang="en-US" sz="1100" smtClean="0">
              <a:solidFill>
                <a:schemeClr val="dk1"/>
              </a:solidFill>
              <a:latin typeface="+mn-lt"/>
              <a:ea typeface="+mn-ea"/>
              <a:cs typeface="+mn-cs"/>
            </a:rPr>
            <a:t>--PP14</a:t>
          </a:r>
        </a:p>
        <a:p>
          <a:r>
            <a:rPr lang="en-US" sz="1100" smtClean="0">
              <a:solidFill>
                <a:schemeClr val="dk1"/>
              </a:solidFill>
              <a:latin typeface="+mn-lt"/>
              <a:ea typeface="+mn-ea"/>
              <a:cs typeface="+mn-cs"/>
            </a:rPr>
            <a:t>,i.AbandInterval1</a:t>
          </a:r>
        </a:p>
        <a:p>
          <a:r>
            <a:rPr lang="en-US" sz="1100" smtClean="0">
              <a:solidFill>
                <a:schemeClr val="dk1"/>
              </a:solidFill>
              <a:latin typeface="+mn-lt"/>
              <a:ea typeface="+mn-ea"/>
              <a:cs typeface="+mn-cs"/>
            </a:rPr>
            <a:t>--PP15</a:t>
          </a:r>
        </a:p>
        <a:p>
          <a:r>
            <a:rPr lang="en-US" sz="1100" smtClean="0">
              <a:solidFill>
                <a:schemeClr val="dk1"/>
              </a:solidFill>
              <a:latin typeface="+mn-lt"/>
              <a:ea typeface="+mn-ea"/>
              <a:cs typeface="+mn-cs"/>
            </a:rPr>
            <a:t>,ICRDefaultRouted + NetworkDefaultRouted + ReturnBusy + ReturnRing + CallsRONA</a:t>
          </a:r>
        </a:p>
        <a:p>
          <a:r>
            <a:rPr lang="en-US" sz="1100" smtClean="0">
              <a:solidFill>
                <a:schemeClr val="dk1"/>
              </a:solidFill>
              <a:latin typeface="+mn-lt"/>
              <a:ea typeface="+mn-ea"/>
              <a:cs typeface="+mn-cs"/>
            </a:rPr>
            <a:t>+ ReturnRelease + CallsRoutedNonAgent + ErrorCount + AgentErrorCount + OverflowOut + IncompleteCalls  as SysOut</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from maxco_awdb.dbo.Call_Type_Interval i </a:t>
          </a:r>
        </a:p>
        <a:p>
          <a:r>
            <a:rPr lang="en-US" sz="1100" smtClean="0">
              <a:solidFill>
                <a:schemeClr val="dk1"/>
              </a:solidFill>
              <a:latin typeface="+mn-lt"/>
              <a:ea typeface="+mn-ea"/>
              <a:cs typeface="+mn-cs"/>
            </a:rPr>
            <a:t>join maxco_awdb.dbo.Call_Type t </a:t>
          </a:r>
        </a:p>
        <a:p>
          <a:r>
            <a:rPr lang="en-US" sz="1100" smtClean="0">
              <a:solidFill>
                <a:schemeClr val="dk1"/>
              </a:solidFill>
              <a:latin typeface="+mn-lt"/>
              <a:ea typeface="+mn-ea"/>
              <a:cs typeface="+mn-cs"/>
            </a:rPr>
            <a:t>on t.CallTypeID = i.CallTypeID </a:t>
          </a:r>
        </a:p>
        <a:p>
          <a:r>
            <a:rPr lang="en-US" sz="1100" smtClean="0">
              <a:solidFill>
                <a:schemeClr val="dk1"/>
              </a:solidFill>
              <a:latin typeface="+mn-lt"/>
              <a:ea typeface="+mn-ea"/>
              <a:cs typeface="+mn-cs"/>
            </a:rPr>
            <a:t>where convert(date, [DateTime]) between '2015-01-13' and convert(date, getdate())</a:t>
          </a:r>
        </a:p>
        <a:p>
          <a:r>
            <a:rPr lang="en-US" sz="1100" smtClean="0">
              <a:solidFill>
                <a:schemeClr val="dk1"/>
              </a:solidFill>
              <a:latin typeface="+mn-lt"/>
              <a:ea typeface="+mn-ea"/>
              <a:cs typeface="+mn-cs"/>
            </a:rPr>
            <a:t>and t.CallTypeID in (select CallTypeID from ##ActiveQueues)</a:t>
          </a:r>
        </a:p>
        <a:p>
          <a:r>
            <a:rPr lang="en-US" sz="1100" smtClean="0">
              <a:solidFill>
                <a:schemeClr val="dk1"/>
              </a:solidFill>
              <a:latin typeface="+mn-lt"/>
              <a:ea typeface="+mn-ea"/>
              <a:cs typeface="+mn-cs"/>
            </a:rPr>
            <a:t>Order by 4,3</a:t>
          </a: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Go</a:t>
          </a:r>
        </a:p>
        <a:p>
          <a:endParaRPr lang="en-US" sz="1100" smtClean="0">
            <a:solidFill>
              <a:schemeClr val="dk1"/>
            </a:solidFill>
            <a:latin typeface="+mn-lt"/>
            <a:ea typeface="+mn-ea"/>
            <a:cs typeface="+mn-cs"/>
          </a:endParaRPr>
        </a:p>
        <a:p>
          <a:endParaRPr lang="en-US" sz="1100" smtClean="0">
            <a:solidFill>
              <a:schemeClr val="dk1"/>
            </a:solidFill>
            <a:latin typeface="+mn-lt"/>
            <a:ea typeface="+mn-ea"/>
            <a:cs typeface="+mn-cs"/>
          </a:endParaRPr>
        </a:p>
        <a:p>
          <a:r>
            <a:rPr lang="en-US" sz="1100" smtClean="0">
              <a:solidFill>
                <a:schemeClr val="dk1"/>
              </a:solidFill>
              <a:latin typeface="+mn-lt"/>
              <a:ea typeface="+mn-ea"/>
              <a:cs typeface="+mn-cs"/>
            </a:rPr>
            <a:t>Drop Table ##ActiveQueues</a:t>
          </a:r>
          <a:endParaRPr lang="en-US" sz="1100"/>
        </a:p>
      </xdr:txBody>
    </xdr:sp>
    <xdr:clientData/>
  </xdr:twoCellAnchor>
  <xdr:twoCellAnchor>
    <xdr:from>
      <xdr:col>7</xdr:col>
      <xdr:colOff>464820</xdr:colOff>
      <xdr:row>12</xdr:row>
      <xdr:rowOff>91440</xdr:rowOff>
    </xdr:from>
    <xdr:to>
      <xdr:col>12</xdr:col>
      <xdr:colOff>426720</xdr:colOff>
      <xdr:row>15</xdr:row>
      <xdr:rowOff>106680</xdr:rowOff>
    </xdr:to>
    <xdr:sp macro="" textlink="">
      <xdr:nvSpPr>
        <xdr:cNvPr id="7" name="TextBox 6"/>
        <xdr:cNvSpPr txBox="1"/>
      </xdr:nvSpPr>
      <xdr:spPr>
        <a:xfrm>
          <a:off x="4732020" y="2286000"/>
          <a:ext cx="3009900" cy="563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alter session set current_schema = cisco_enterprise_cc;</a:t>
          </a:r>
        </a:p>
        <a:p>
          <a:r>
            <a:rPr lang="en-US" sz="1100"/>
            <a:t>--================Updates Required=================--</a:t>
          </a:r>
        </a:p>
        <a:p>
          <a:r>
            <a:rPr lang="en-US" sz="1100"/>
            <a:t>--Find / Replace first four letters of queue name</a:t>
          </a:r>
        </a:p>
        <a:p>
          <a:r>
            <a:rPr lang="en-US" sz="1100"/>
            <a:t>--Manually insert active call type values into test CF5</a:t>
          </a:r>
        </a:p>
        <a:p>
          <a:endParaRPr lang="en-US" sz="1100"/>
        </a:p>
        <a:p>
          <a:r>
            <a:rPr lang="en-US" sz="1100"/>
            <a:t>/*</a:t>
          </a:r>
        </a:p>
        <a:p>
          <a:r>
            <a:rPr lang="en-US" sz="1100"/>
            <a:t>--Test Active Queues - Replace queue name as needed (This is for CF5)</a:t>
          </a:r>
        </a:p>
        <a:p>
          <a:r>
            <a:rPr lang="en-US" sz="1100"/>
            <a:t>select distinct ',',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1; </a:t>
          </a:r>
        </a:p>
        <a:p>
          <a:r>
            <a:rPr lang="en-US" sz="1100"/>
            <a:t>*/</a:t>
          </a:r>
        </a:p>
        <a:p>
          <a:endParaRPr lang="en-US" sz="1100"/>
        </a:p>
        <a:p>
          <a:r>
            <a:rPr lang="en-US" sz="1100"/>
            <a:t>--Configuration Tests </a:t>
          </a:r>
        </a:p>
        <a:p>
          <a:r>
            <a:rPr lang="en-US" sz="1100"/>
            <a:t>--CF 1</a:t>
          </a:r>
        </a:p>
        <a:p>
          <a:r>
            <a:rPr lang="en-US" sz="1100"/>
            <a:t>select q.queue_number, q.queue_name, f.filter_type, f.value</a:t>
          </a:r>
        </a:p>
        <a:p>
          <a:r>
            <a:rPr lang="en-US" sz="1100"/>
            <a:t>from   cisco_enterprise_cc.cc_c_contact_queue q</a:t>
          </a:r>
        </a:p>
        <a:p>
          <a:r>
            <a:rPr lang="en-US" sz="1100"/>
            <a:t>full outer join cisco_enterprise_cc.cc_c_filter f on q.queue_number = f.value</a:t>
          </a:r>
        </a:p>
        <a:p>
          <a:r>
            <a:rPr lang="en-US" sz="1100"/>
            <a:t>where f.filter_type in ('ACD_CALL_TYPE_ID_INC','ACD_CALL_TYPE_ID_IGNORE')</a:t>
          </a:r>
        </a:p>
        <a:p>
          <a:r>
            <a:rPr lang="en-US" sz="1100"/>
            <a:t>and substr(q.queue_name, 1, 4) = 'IDBO'</a:t>
          </a:r>
        </a:p>
        <a:p>
          <a:r>
            <a:rPr lang="en-US" sz="1100"/>
            <a:t>order by 1;</a:t>
          </a:r>
        </a:p>
        <a:p>
          <a:endParaRPr lang="en-US" sz="1100"/>
        </a:p>
        <a:p>
          <a:r>
            <a:rPr lang="en-US" sz="1100"/>
            <a:t>--CF 4</a:t>
          </a:r>
        </a:p>
        <a:p>
          <a:r>
            <a:rPr lang="en-US" sz="1100"/>
            <a:t>select * </a:t>
          </a:r>
        </a:p>
        <a:p>
          <a:r>
            <a:rPr lang="en-US" sz="1100"/>
            <a:t>from cisco_enterprise_cc.cc_c_contact_queue q </a:t>
          </a:r>
        </a:p>
        <a:p>
          <a:r>
            <a:rPr lang="en-US" sz="1100"/>
            <a:t>where (q.unit_of_work_name is null or upper(q.unit_of_work_name) = 'UNKNOWN')</a:t>
          </a:r>
        </a:p>
        <a:p>
          <a:r>
            <a:rPr lang="en-US" sz="1100"/>
            <a:t>and substr(q.queue_name, 1, 4) = 'IDBO'</a:t>
          </a:r>
        </a:p>
        <a:p>
          <a:r>
            <a:rPr lang="en-US" sz="1100"/>
            <a:t>and q.queue_number in</a:t>
          </a:r>
        </a:p>
        <a:p>
          <a:r>
            <a:rPr lang="en-US" sz="1100"/>
            <a:t>(select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endParaRPr lang="en-US" sz="1100"/>
        </a:p>
        <a:p>
          <a:r>
            <a:rPr lang="en-US" sz="1100"/>
            <a:t>--CF 5</a:t>
          </a:r>
        </a:p>
        <a:p>
          <a:r>
            <a:rPr lang="en-US" sz="1100"/>
            <a:t>select * </a:t>
          </a:r>
        </a:p>
        <a:p>
          <a:r>
            <a:rPr lang="en-US" sz="1100"/>
            <a:t>from cisco_enterprise_cc.cc_c_filter </a:t>
          </a:r>
        </a:p>
        <a:p>
          <a:r>
            <a:rPr lang="en-US" sz="1100"/>
            <a:t>where value in (</a:t>
          </a:r>
        </a:p>
        <a:p>
          <a:r>
            <a:rPr lang="en-US" sz="1100"/>
            <a:t>	6031</a:t>
          </a:r>
        </a:p>
        <a:p>
          <a:r>
            <a:rPr lang="en-US" sz="1100"/>
            <a:t>,	6033</a:t>
          </a:r>
        </a:p>
        <a:p>
          <a:r>
            <a:rPr lang="en-US" sz="1100"/>
            <a:t>,	6039</a:t>
          </a:r>
        </a:p>
        <a:p>
          <a:r>
            <a:rPr lang="en-US" sz="1100"/>
            <a:t>,	6040</a:t>
          </a:r>
        </a:p>
        <a:p>
          <a:r>
            <a:rPr lang="en-US" sz="1100"/>
            <a:t>,	6034</a:t>
          </a:r>
        </a:p>
        <a:p>
          <a:endParaRPr lang="en-US" sz="1100"/>
        </a:p>
        <a:p>
          <a:r>
            <a:rPr lang="en-US" sz="1100"/>
            <a:t>); </a:t>
          </a:r>
        </a:p>
        <a:p>
          <a:endParaRPr lang="en-US" sz="1100"/>
        </a:p>
        <a:p>
          <a:endParaRPr lang="en-US" sz="1100"/>
        </a:p>
        <a:p>
          <a:endParaRPr lang="en-US" sz="1100"/>
        </a:p>
        <a:p>
          <a:r>
            <a:rPr lang="en-US" sz="1100"/>
            <a:t>--Production Planning Module Tests</a:t>
          </a:r>
        </a:p>
        <a:p>
          <a:r>
            <a:rPr lang="en-US" sz="1100"/>
            <a:t>select 'PP 1' as TestNumber, acd_interval_id, si.interval_start_date, contact_queue_id </a:t>
          </a:r>
        </a:p>
        <a:p>
          <a:r>
            <a:rPr lang="en-US" sz="1100"/>
            <a:t>from cisco_enterprise_cc.CC_S_ACD_INTERVAL ai inner join cisco_enterprise_cc.cc_s_interval si on ai.interval_id = si.interval_id</a:t>
          </a:r>
        </a:p>
        <a:p>
          <a:r>
            <a:rPr lang="en-US" sz="1100"/>
            <a:t>where contact_queue_id = 0 and ai.interval_date &gt;= '13-Jan-2016' order by si.interval_start_date desc;</a:t>
          </a:r>
        </a:p>
        <a:p>
          <a:endParaRPr lang="en-US" sz="1100"/>
        </a:p>
        <a:p>
          <a:endParaRPr lang="en-US" sz="1100"/>
        </a:p>
        <a:p>
          <a:endParaRPr lang="en-US" sz="1100"/>
        </a:p>
        <a:p>
          <a:r>
            <a:rPr lang="en-US" sz="1100"/>
            <a:t>select 'PP 2' as test_num, f.f_call_center_actls_intrvl_id, i.interval_start_time_of_day24, q.queue_name</a:t>
          </a:r>
        </a:p>
        <a:p>
          <a:r>
            <a:rPr lang="en-US" sz="1100"/>
            <a:t>from cisco_enterprise_cc.cc_f_actuals_queue_interval f</a:t>
          </a:r>
        </a:p>
        <a:p>
          <a:r>
            <a:rPr lang="en-US" sz="1100"/>
            <a:t>inner join cisco_enterprise_cc.cc_d_interval i on f.d_interval_id = i.d_interval_id </a:t>
          </a:r>
        </a:p>
        <a:p>
          <a:r>
            <a:rPr lang="en-US" sz="1100"/>
            <a:t>inner join cisco_enterprise_cc.cc_d_contact_queue q on f.d_contact_queue_id = q.d_contact_queue_id where f.d_contact_queue_id = 0 and trunc(i.interval_start_date) &gt;= '13-Jan-2016'</a:t>
          </a:r>
        </a:p>
        <a:p>
          <a:r>
            <a:rPr lang="en-US" sz="1100"/>
            <a:t>order by i.interval_start_date desc;</a:t>
          </a:r>
        </a:p>
        <a:p>
          <a:endParaRPr lang="en-US" sz="1100"/>
        </a:p>
        <a:p>
          <a:endParaRPr lang="en-US" sz="1100"/>
        </a:p>
        <a:p>
          <a:r>
            <a:rPr lang="en-US" sz="1100"/>
            <a:t>select 'PP 3' as test_num, f.f_cc_acd_queue_intrvl_id, i.interval_start_time_of_day24, q.queue_name</a:t>
          </a:r>
        </a:p>
        <a:p>
          <a:r>
            <a:rPr lang="en-US" sz="1100"/>
            <a:t>from cisco_enterprise_cc.cc_f_acd_queue_interval f</a:t>
          </a:r>
        </a:p>
        <a:p>
          <a:r>
            <a:rPr lang="en-US" sz="1100"/>
            <a:t>inner join cisco_enterprise_cc.cc_d_interval i on f.d_interval_id = i.d_interval_id </a:t>
          </a:r>
        </a:p>
        <a:p>
          <a:r>
            <a:rPr lang="en-US" sz="1100"/>
            <a:t>inner join cisco_enterprise_cc.cc_d_contact_queue q on f.d_contact_queue_id = q.d_contact_queue_id where f.d_contact_queue_id = 0 and trunc(i.interval_start_date) &gt;= '13-Jan-2016'</a:t>
          </a:r>
        </a:p>
        <a:p>
          <a:r>
            <a:rPr lang="en-US" sz="1100"/>
            <a:t>order by i.interval_start_date desc;</a:t>
          </a:r>
        </a:p>
        <a:p>
          <a:endParaRPr lang="en-US" sz="1100"/>
        </a:p>
        <a:p>
          <a:endParaRPr lang="en-US" sz="1100"/>
        </a:p>
        <a:p>
          <a:endParaRPr lang="en-US" sz="1100"/>
        </a:p>
        <a:p>
          <a:r>
            <a:rPr lang="en-US" sz="1100"/>
            <a:t>select 'PP 4 etl' as test_num, s.interval_date, q.queue_number, q.queue_name, sum(s.contacts_offered) as offered, sum(s.contacts_handled) as handle,</a:t>
          </a:r>
        </a:p>
        <a:p>
          <a:r>
            <a:rPr lang="en-US" sz="1100"/>
            <a:t>sum(s.contacts_abandoned) as abandon</a:t>
          </a:r>
        </a:p>
        <a:p>
          <a:r>
            <a:rPr lang="en-US" sz="1100"/>
            <a:t>from cisco_enterprise_cc.cc_s_acd_interval s inner join cisco_enterprise_cc.cc_s_contact_queue q on q.contact_queue_id = s.contact_queue_id</a:t>
          </a:r>
        </a:p>
        <a:p>
          <a:r>
            <a:rPr lang="en-US" sz="1100"/>
            <a:t>where s.interval_date &gt;= '13-Jan-2016'  </a:t>
          </a:r>
        </a:p>
        <a:p>
          <a:r>
            <a:rPr lang="en-US" sz="1100"/>
            <a:t>and q.queue_number in</a:t>
          </a:r>
        </a:p>
        <a:p>
          <a:r>
            <a:rPr lang="en-US" sz="1100"/>
            <a:t>(select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group by 'PP 4 etl', s.interval_date, q.queue_number, q.queue_name order by 3,2;</a:t>
          </a:r>
        </a:p>
        <a:p>
          <a:endParaRPr lang="en-US" sz="1100"/>
        </a:p>
        <a:p>
          <a:endParaRPr lang="en-US" sz="1100"/>
        </a:p>
        <a:p>
          <a:r>
            <a:rPr lang="en-US" sz="1100"/>
            <a:t>--PP5 ETL Query</a:t>
          </a:r>
        </a:p>
        <a:p>
          <a:r>
            <a:rPr lang="en-US" sz="1100"/>
            <a:t>select testnumber, interval_date, sum(offered), sum(handle_abandon), sum(sysout), sum(diff), round((sum(diff)/sum(offered))*100,2) as error_rate_day from </a:t>
          </a:r>
        </a:p>
        <a:p>
          <a:r>
            <a:rPr lang="en-US" sz="1100"/>
            <a:t>(select mainc.*, offered - handle_abandon - sysout as diff from (</a:t>
          </a:r>
        </a:p>
        <a:p>
          <a:r>
            <a:rPr lang="en-US" sz="1100"/>
            <a:t>select 'RV 7' as TestNumber, ai.interval_date, cq.queue_name, cq.queue_number,sum(ai.contacts_offered) as offered, sum(ai.contacts_handled)+</a:t>
          </a:r>
        </a:p>
        <a:p>
          <a:r>
            <a:rPr lang="en-US" sz="1100"/>
            <a:t>      sum(ai.contacts_abandoned) as handle_abandon, sum(ai.icr_default_routed) + sum(ai.network_default_routed) + sum(ai.return_busy) + sum(ai.calls_rona) + </a:t>
          </a:r>
        </a:p>
        <a:p>
          <a:r>
            <a:rPr lang="en-US" sz="1100"/>
            <a:t>      sum(ai.return_release) + sum(ai.calls_routed_non_agent) + sum(ai.error_count) + sum(ai.agent_error_count) + sum(ai.outflow_contacts) + sum(ai.return_ring) +</a:t>
          </a:r>
        </a:p>
        <a:p>
          <a:r>
            <a:rPr lang="en-US" sz="1100"/>
            <a:t>      sum(ai.incomplete_calls) + sum(calls_given_force_disconnect) + sum(calls_given_route_to) + sum(short_abandons) as sysout</a:t>
          </a:r>
        </a:p>
        <a:p>
          <a:r>
            <a:rPr lang="en-US" sz="1100"/>
            <a:t>from cisco_enterprise_cc.cc_s_acd_interval ai</a:t>
          </a:r>
        </a:p>
        <a:p>
          <a:r>
            <a:rPr lang="en-US" sz="1100"/>
            <a:t>inner join cisco_enterprise_cc.cc_s_contact_queue cq on ai.contact_queue_id = cq.contact_queue_id where ai.interval_date &gt;= '13-Jan-2016'</a:t>
          </a:r>
        </a:p>
        <a:p>
          <a:r>
            <a:rPr lang="en-US" sz="1100"/>
            <a:t>and cq.queue_number in</a:t>
          </a:r>
        </a:p>
        <a:p>
          <a:r>
            <a:rPr lang="en-US" sz="1100"/>
            <a:t>(select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group by 'RV 7', ai.interval_date, cq.queue_name,cq.queue_number order by ai.interval_date desc ) mainc</a:t>
          </a:r>
        </a:p>
        <a:p>
          <a:r>
            <a:rPr lang="en-US" sz="1100"/>
            <a:t>where mainc.offered &lt;&gt; mainc.handle_abandon + mainc.sysout order by interval_date, queue_name)group by testnumber, interval_date</a:t>
          </a:r>
        </a:p>
        <a:p>
          <a:r>
            <a:rPr lang="en-US" sz="1100"/>
            <a:t>order by testnumber, interval_date ;</a:t>
          </a:r>
        </a:p>
        <a:p>
          <a:endParaRPr lang="en-US" sz="1100"/>
        </a:p>
        <a:p>
          <a:endParaRPr lang="en-US" sz="1100"/>
        </a:p>
        <a:p>
          <a:r>
            <a:rPr lang="en-US" sz="1100"/>
            <a:t>--PP5 Control Query</a:t>
          </a:r>
        </a:p>
        <a:p>
          <a:r>
            <a:rPr lang="en-US" sz="1100"/>
            <a:t>select mainc.*, offered - handle_abandon - sysout as diff from (</a:t>
          </a:r>
        </a:p>
        <a:p>
          <a:r>
            <a:rPr lang="en-US" sz="1100"/>
            <a:t>select 'PP5_detail' as TestNumber, ai.interval_date, cq.queue_name, cq.queue_number,sum(ai.contacts_offered) as offered, sum(ai.contacts_handled)+</a:t>
          </a:r>
        </a:p>
        <a:p>
          <a:r>
            <a:rPr lang="en-US" sz="1100"/>
            <a:t>      sum(ai.contacts_abandoned) as handle_abandon, sum(ai.icr_default_routed) + sum(ai.network_default_routed) + sum(ai.return_busy) + sum(ai.calls_rona) + </a:t>
          </a:r>
        </a:p>
        <a:p>
          <a:r>
            <a:rPr lang="en-US" sz="1100"/>
            <a:t>      sum(ai.return_release) + sum(ai.calls_routed_non_agent) + sum(ai.error_count) + sum(ai.agent_error_count) + sum(ai.outflow_contacts) + sum(ai.return_ring) +</a:t>
          </a:r>
        </a:p>
        <a:p>
          <a:r>
            <a:rPr lang="en-US" sz="1100"/>
            <a:t>      sum(ai.incomplete_calls) + sum(calls_given_force_disconnect) + sum(calls_given_route_to)+sum(short_abandons) as sysout</a:t>
          </a:r>
        </a:p>
        <a:p>
          <a:r>
            <a:rPr lang="en-US" sz="1100"/>
            <a:t>from cc_s_acd_interval ai</a:t>
          </a:r>
        </a:p>
        <a:p>
          <a:r>
            <a:rPr lang="en-US" sz="1100"/>
            <a:t>inner join cc_s_contact_queue cq on ai.contact_queue_id = cq.contact_queue_id </a:t>
          </a:r>
        </a:p>
        <a:p>
          <a:r>
            <a:rPr lang="en-US" sz="1100"/>
            <a:t>where ai.interval_date &gt;= '01-Jan-2016' and cq.queue_number in</a:t>
          </a:r>
        </a:p>
        <a:p>
          <a:r>
            <a:rPr lang="en-US" sz="1100"/>
            <a:t>(select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group by 'PP5_detail', ai.interval_date, cq.queue_name, cq.queue_number) mainc;</a:t>
          </a:r>
        </a:p>
        <a:p>
          <a:endParaRPr lang="en-US" sz="1100"/>
        </a:p>
        <a:p>
          <a:endParaRPr lang="en-US" sz="1100"/>
        </a:p>
        <a:p>
          <a:endParaRPr lang="en-US" sz="1100"/>
        </a:p>
        <a:p>
          <a:r>
            <a:rPr lang="en-US" sz="1100"/>
            <a:t>/*</a:t>
          </a:r>
        </a:p>
        <a:p>
          <a:r>
            <a:rPr lang="en-US" sz="1100"/>
            <a:t>select 'PP 7' as test_num, s.interval_date, to_char(itv.interval_start_date, 'mm/dd/yyyy hh24:mi:ss') Interval_DT, q.queue_number, q.queue_name, s.mean_handle_time</a:t>
          </a:r>
        </a:p>
        <a:p>
          <a:r>
            <a:rPr lang="en-US" sz="1100"/>
            <a:t>       ,case when s.contacts_handled = 0 then 0 else round((s.talk_time_total+s.hold_time_total+s.after_call_work_time_total)/(s.contacts_handled),1) end as aht_calc</a:t>
          </a:r>
        </a:p>
        <a:p>
          <a:r>
            <a:rPr lang="en-US" sz="1100"/>
            <a:t>from cisco_enterprise_cc.cc_s_acd_interval s inner join cisco_enterprise_cc.cc_s_contact_queue q on q.contact_queue_id = s.contact_queue_id </a:t>
          </a:r>
        </a:p>
        <a:p>
          <a:r>
            <a:rPr lang="en-US" sz="1100"/>
            <a:t>inner join cc_s_interval itv on s.interval_id = itv.interval_id</a:t>
          </a:r>
        </a:p>
        <a:p>
          <a:r>
            <a:rPr lang="en-US" sz="1100"/>
            <a:t>where s.interval_date &gt;= '13-Jan-2016'</a:t>
          </a:r>
        </a:p>
        <a:p>
          <a:r>
            <a:rPr lang="en-US" sz="1100"/>
            <a:t>and 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endParaRPr lang="en-US" sz="1100"/>
        </a:p>
        <a:p>
          <a:endParaRPr lang="en-US" sz="1100"/>
        </a:p>
        <a:p>
          <a:r>
            <a:rPr lang="en-US" sz="1100"/>
            <a:t>select 'PP 8' as test_num, s.interval_date, to_char(itv.interval_start_date, 'mm/dd/yyyy hh24:mi:ss') Interval_DT, q.queue_number, q.queue_name, s.mean_speed_of_answer,</a:t>
          </a:r>
        </a:p>
        <a:p>
          <a:r>
            <a:rPr lang="en-US" sz="1100"/>
            <a:t>case when s.contacts_handled = 0 then 0 else round((s.answer_wait_time_total/ s.contacts_handled),2) end as calc_asa</a:t>
          </a:r>
        </a:p>
        <a:p>
          <a:r>
            <a:rPr lang="en-US" sz="1100"/>
            <a:t>from cisco_enterprise_cc.cc_s_acd_interval s inner join cisco_enterprise_cc.cc_s_contact_queue q on q.contact_queue_id = s.contact_queue_id</a:t>
          </a:r>
        </a:p>
        <a:p>
          <a:r>
            <a:rPr lang="en-US" sz="1100"/>
            <a:t>inner join cc_s_interval itv on s.interval_id = itv.interval_id</a:t>
          </a:r>
        </a:p>
        <a:p>
          <a:r>
            <a:rPr lang="en-US" sz="1100"/>
            <a:t>where s.interval_date &gt;= '13-Jan-2016' </a:t>
          </a:r>
        </a:p>
        <a:p>
          <a:r>
            <a:rPr lang="en-US" sz="1100"/>
            <a:t>and 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endParaRPr lang="en-US" sz="1100"/>
        </a:p>
        <a:p>
          <a:r>
            <a:rPr lang="en-US" sz="1100"/>
            <a:t>select 'PP 9' as test_num, s.interval_date, to_char(itv.interval_start_date, 'mm/dd/yyyy hh24:mi:ss') Interval_DT, q.queue_number, q.queue_name, s.answer_wait_time_total</a:t>
          </a:r>
        </a:p>
        <a:p>
          <a:r>
            <a:rPr lang="en-US" sz="1100"/>
            <a:t>from cisco_enterprise_cc.cc_s_acd_interval s inner join cisco_enterprise_cc.cc_s_contact_queue q on q.contact_queue_id = s.contact_queue_id</a:t>
          </a:r>
        </a:p>
        <a:p>
          <a:r>
            <a:rPr lang="en-US" sz="1100"/>
            <a:t>inner join cc_s_interval itv on s.interval_id = itv.interval_id</a:t>
          </a:r>
        </a:p>
        <a:p>
          <a:r>
            <a:rPr lang="en-US" sz="1100"/>
            <a:t>where s.interval_date &gt;= '13-Jan-2016' </a:t>
          </a:r>
        </a:p>
        <a:p>
          <a:r>
            <a:rPr lang="en-US" sz="1100"/>
            <a:t>and 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endParaRPr lang="en-US" sz="1100"/>
        </a:p>
        <a:p>
          <a:r>
            <a:rPr lang="en-US" sz="1100"/>
            <a:t>select 'PP 10' as test_num, s.interval_date, to_char(itv.interval_start_date, 'mm/dd/yyyy hh24:mi:ss') Interval_DT, q.queue_number, q.queue_name, s.abandon_time_total</a:t>
          </a:r>
        </a:p>
        <a:p>
          <a:r>
            <a:rPr lang="en-US" sz="1100"/>
            <a:t>from cisco_enterprise_cc.cc_s_acd_interval s inner join cisco_enterprise_cc.cc_s_contact_queue q on q.contact_queue_id = s.contact_queue_id</a:t>
          </a:r>
        </a:p>
        <a:p>
          <a:r>
            <a:rPr lang="en-US" sz="1100"/>
            <a:t>inner join cc_s_interval itv on s.interval_id = itv.interval_id</a:t>
          </a:r>
        </a:p>
        <a:p>
          <a:r>
            <a:rPr lang="en-US" sz="1100"/>
            <a:t>where s.interval_date &gt;= '13-Jan-2016' </a:t>
          </a:r>
        </a:p>
        <a:p>
          <a:r>
            <a:rPr lang="en-US" sz="1100"/>
            <a:t>and 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endParaRPr lang="en-US" sz="1100"/>
        </a:p>
        <a:p>
          <a:r>
            <a:rPr lang="en-US" sz="1100"/>
            <a:t>select 'PP 11' as test_num, s.interval_date, to_char(itv.interval_start_date, 'mm/dd/yyyy hh24:mi:ss') Interval_DT, q.queue_number, q.queue_name, s.talk_time_total</a:t>
          </a:r>
        </a:p>
        <a:p>
          <a:r>
            <a:rPr lang="en-US" sz="1100"/>
            <a:t>from cisco_enterprise_cc.cc_s_acd_interval s inner join cisco_enterprise_cc.cc_s_contact_queue q on q.contact_queue_id = s.contact_queue_id</a:t>
          </a:r>
        </a:p>
        <a:p>
          <a:r>
            <a:rPr lang="en-US" sz="1100"/>
            <a:t>inner join cc_s_interval itv on s.interval_id = itv.interval_id</a:t>
          </a:r>
        </a:p>
        <a:p>
          <a:r>
            <a:rPr lang="en-US" sz="1100"/>
            <a:t>where s.interval_date &gt;= '13-Jan-2016' </a:t>
          </a:r>
        </a:p>
        <a:p>
          <a:r>
            <a:rPr lang="en-US" sz="1100"/>
            <a:t>and 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endParaRPr lang="en-US" sz="1100"/>
        </a:p>
        <a:p>
          <a:r>
            <a:rPr lang="en-US" sz="1100"/>
            <a:t>select 'PP 12' as test_num, s.interval_date,to_char(itv.interval_start_date, 'mm/dd/yyyy hh24:mi:ss') Interval_DT, q.queue_number, q.queue_name, s.after_call_work_time_total</a:t>
          </a:r>
        </a:p>
        <a:p>
          <a:r>
            <a:rPr lang="en-US" sz="1100"/>
            <a:t>from cisco_enterprise_cc.cc_s_acd_interval s inner join cisco_enterprise_cc.cc_s_contact_queue q on q.contact_queue_id = s.contact_queue_id</a:t>
          </a:r>
        </a:p>
        <a:p>
          <a:r>
            <a:rPr lang="en-US" sz="1100"/>
            <a:t>inner join cc_s_interval itv on s.interval_id = itv.interval_id</a:t>
          </a:r>
        </a:p>
        <a:p>
          <a:r>
            <a:rPr lang="en-US" sz="1100"/>
            <a:t>where s.interval_date &gt;= '13-Jan-2016' </a:t>
          </a:r>
        </a:p>
        <a:p>
          <a:r>
            <a:rPr lang="en-US" sz="1100"/>
            <a:t>and 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endParaRPr lang="en-US" sz="1100"/>
        </a:p>
        <a:p>
          <a:r>
            <a:rPr lang="en-US" sz="1100"/>
            <a:t>select 'PP 13' as test_num, s.interval_date, to_char(itv.interval_start_date, 'mm/dd/yyyy hh24:mi:ss') Interval_DT, q.queue_number, q.queue_name, s.hold_time_total</a:t>
          </a:r>
        </a:p>
        <a:p>
          <a:r>
            <a:rPr lang="en-US" sz="1100"/>
            <a:t>from cisco_enterprise_cc.cc_s_acd_interval s inner join cisco_enterprise_cc.cc_s_contact_queue q on q.contact_queue_id = s.contact_queue_id</a:t>
          </a:r>
        </a:p>
        <a:p>
          <a:r>
            <a:rPr lang="en-US" sz="1100"/>
            <a:t>inner join cc_s_interval itv on s.interval_id = itv.interval_id</a:t>
          </a:r>
        </a:p>
        <a:p>
          <a:r>
            <a:rPr lang="en-US" sz="1100"/>
            <a:t>where s.interval_date &gt;= '13-Jan-2016' </a:t>
          </a:r>
        </a:p>
        <a:p>
          <a:r>
            <a:rPr lang="en-US" sz="1100"/>
            <a:t>and 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endParaRPr lang="en-US" sz="1100"/>
        </a:p>
        <a:p>
          <a:r>
            <a:rPr lang="en-US" sz="1100"/>
            <a:t>select 'PP 14' as test_num, s.interval_date,to_char(itv.interval_start_date, 'mm/dd/yyyy hh24:mi:ss') Interval_DT, q.queue_number, q.queue_name, s.calls_abandoned_period_1</a:t>
          </a:r>
        </a:p>
        <a:p>
          <a:r>
            <a:rPr lang="en-US" sz="1100"/>
            <a:t>from cisco_enterprise_cc.cc_s_acd_interval s inner join cisco_enterprise_cc.cc_s_contact_queue q on q.contact_queue_id = s.contact_queue_id</a:t>
          </a:r>
        </a:p>
        <a:p>
          <a:r>
            <a:rPr lang="en-US" sz="1100"/>
            <a:t>inner join cc_s_interval itv on s.interval_id = itv.interval_id</a:t>
          </a:r>
        </a:p>
        <a:p>
          <a:r>
            <a:rPr lang="en-US" sz="1100"/>
            <a:t>where s.interval_date &gt;= '13-Jan-2016' </a:t>
          </a:r>
        </a:p>
        <a:p>
          <a:r>
            <a:rPr lang="en-US" sz="1100"/>
            <a:t>and 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r>
            <a:rPr lang="en-US" sz="1100"/>
            <a:t>select 'PP 15' as test_num, s.interval_date, to_char(itv.interval_start_date, 'mm/dd/yyyy hh24:mi:ss') Interval_DT, q.queue_number, q.queue_name, s.icr_default_routed </a:t>
          </a:r>
        </a:p>
        <a:p>
          <a:r>
            <a:rPr lang="en-US" sz="1100"/>
            <a:t>+ s.network_default_routed + s.return_busy + s.calls_rona + s.return_release + s.calls_routed_non_agent + s.error_count + s.agent_error_count </a:t>
          </a:r>
        </a:p>
        <a:p>
          <a:r>
            <a:rPr lang="en-US" sz="1100"/>
            <a:t>+ s.outflow_contacts + s.return_ring + s.incomplete_calls as sysout</a:t>
          </a:r>
        </a:p>
        <a:p>
          <a:r>
            <a:rPr lang="en-US" sz="1100"/>
            <a:t>from cisco_enterprise_cc.cc_s_acd_interval s inner join cisco_enterprise_cc.cc_s_contact_queue q on q.contact_queue_id = s.contact_queue_id</a:t>
          </a:r>
        </a:p>
        <a:p>
          <a:r>
            <a:rPr lang="en-US" sz="1100"/>
            <a:t>inner join cc_s_interval itv on s.interval_id = itv.interval_id</a:t>
          </a:r>
        </a:p>
        <a:p>
          <a:r>
            <a:rPr lang="en-US" sz="1100"/>
            <a:t>where s.interval_date &gt;= '13-Jan-2016' </a:t>
          </a:r>
        </a:p>
        <a:p>
          <a:r>
            <a:rPr lang="en-US" sz="1100"/>
            <a:t>and 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r>
            <a:rPr lang="en-US" sz="1100"/>
            <a:t>*/</a:t>
          </a:r>
        </a:p>
        <a:p>
          <a:endParaRPr lang="en-US" sz="1100"/>
        </a:p>
        <a:p>
          <a:endParaRPr lang="en-US" sz="1100"/>
        </a:p>
        <a:p>
          <a:endParaRPr lang="en-US" sz="1100"/>
        </a:p>
        <a:p>
          <a:endParaRPr lang="en-US" sz="1100"/>
        </a:p>
        <a:p>
          <a:endParaRPr lang="en-US" sz="1100"/>
        </a:p>
        <a:p>
          <a:r>
            <a:rPr lang="en-US" sz="1100"/>
            <a:t>select 'PP7 - PP15' as test_num</a:t>
          </a:r>
        </a:p>
        <a:p>
          <a:r>
            <a:rPr lang="en-US" sz="1100"/>
            <a:t>,s.interval_date</a:t>
          </a:r>
        </a:p>
        <a:p>
          <a:r>
            <a:rPr lang="en-US" sz="1100"/>
            <a:t>,to_char(itv.interval_start_date</a:t>
          </a:r>
        </a:p>
        <a:p>
          <a:r>
            <a:rPr lang="en-US" sz="1100"/>
            <a:t>,'mm/dd/yyyy hh24:mi:ss') Interval_DT</a:t>
          </a:r>
        </a:p>
        <a:p>
          <a:r>
            <a:rPr lang="en-US" sz="1100"/>
            <a:t>,q.queue_number</a:t>
          </a:r>
        </a:p>
        <a:p>
          <a:r>
            <a:rPr lang="en-US" sz="1100"/>
            <a:t>,q.queue_name</a:t>
          </a:r>
        </a:p>
        <a:p>
          <a:r>
            <a:rPr lang="en-US" sz="1100"/>
            <a:t>,(s.talk_time_total+s.hold_time_total+s.after_call_work_time_total) as HandleTime</a:t>
          </a:r>
        </a:p>
        <a:p>
          <a:r>
            <a:rPr lang="en-US" sz="1100"/>
            <a:t>,s.contacts_handled --To allow data to line up</a:t>
          </a:r>
        </a:p>
        <a:p>
          <a:r>
            <a:rPr lang="en-US" sz="1100"/>
            <a:t>,case when s.contacts_handled = 0 then 0 else round((s.talk_time_total+s.hold_time_total+s.after_call_work_time_total)/(s.contacts_handled),2) end as aht_calc</a:t>
          </a:r>
        </a:p>
        <a:p>
          <a:endParaRPr lang="en-US" sz="1100"/>
        </a:p>
        <a:p>
          <a:r>
            <a:rPr lang="en-US" sz="1100"/>
            <a:t>--PP8</a:t>
          </a:r>
        </a:p>
        <a:p>
          <a:r>
            <a:rPr lang="en-US" sz="1100"/>
            <a:t>, s.answer_wait_time_total </a:t>
          </a:r>
        </a:p>
        <a:p>
          <a:r>
            <a:rPr lang="en-US" sz="1100"/>
            <a:t>,s.contacts_handled --To allow data to line up</a:t>
          </a:r>
        </a:p>
        <a:p>
          <a:r>
            <a:rPr lang="en-US" sz="1100"/>
            <a:t>,case when s.contacts_handled = 0 then 0 else round((s.answer_wait_time_total/ s.contacts_handled),2) end as calc_asa</a:t>
          </a:r>
        </a:p>
        <a:p>
          <a:endParaRPr lang="en-US" sz="1100"/>
        </a:p>
        <a:p>
          <a:r>
            <a:rPr lang="en-US" sz="1100"/>
            <a:t>--PP9</a:t>
          </a:r>
        </a:p>
        <a:p>
          <a:r>
            <a:rPr lang="en-US" sz="1100"/>
            <a:t>--,s.answer_wait_time_total    </a:t>
          </a:r>
        </a:p>
        <a:p>
          <a:endParaRPr lang="en-US" sz="1100"/>
        </a:p>
        <a:p>
          <a:r>
            <a:rPr lang="en-US" sz="1100"/>
            <a:t>--PP10</a:t>
          </a:r>
        </a:p>
        <a:p>
          <a:r>
            <a:rPr lang="en-US" sz="1100"/>
            <a:t>,s.abandon_time_total</a:t>
          </a:r>
        </a:p>
        <a:p>
          <a:endParaRPr lang="en-US" sz="1100"/>
        </a:p>
        <a:p>
          <a:r>
            <a:rPr lang="en-US" sz="1100"/>
            <a:t>--PP11</a:t>
          </a:r>
        </a:p>
        <a:p>
          <a:r>
            <a:rPr lang="en-US" sz="1100"/>
            <a:t>,s.talk_time_total</a:t>
          </a:r>
        </a:p>
        <a:p>
          <a:endParaRPr lang="en-US" sz="1100"/>
        </a:p>
        <a:p>
          <a:r>
            <a:rPr lang="en-US" sz="1100"/>
            <a:t>--PP12</a:t>
          </a:r>
        </a:p>
        <a:p>
          <a:r>
            <a:rPr lang="en-US" sz="1100"/>
            <a:t>,s.after_call_work_time_total</a:t>
          </a:r>
        </a:p>
        <a:p>
          <a:endParaRPr lang="en-US" sz="1100"/>
        </a:p>
        <a:p>
          <a:r>
            <a:rPr lang="en-US" sz="1100"/>
            <a:t>--PP13</a:t>
          </a:r>
        </a:p>
        <a:p>
          <a:r>
            <a:rPr lang="en-US" sz="1100"/>
            <a:t>,s.hold_time_total</a:t>
          </a:r>
        </a:p>
        <a:p>
          <a:endParaRPr lang="en-US" sz="1100"/>
        </a:p>
        <a:p>
          <a:r>
            <a:rPr lang="en-US" sz="1100"/>
            <a:t>--PP14</a:t>
          </a:r>
        </a:p>
        <a:p>
          <a:r>
            <a:rPr lang="en-US" sz="1100"/>
            <a:t>,s.calls_abandoned_period_1</a:t>
          </a:r>
        </a:p>
        <a:p>
          <a:endParaRPr lang="en-US" sz="1100"/>
        </a:p>
        <a:p>
          <a:r>
            <a:rPr lang="en-US" sz="1100"/>
            <a:t>--PP15</a:t>
          </a:r>
        </a:p>
        <a:p>
          <a:r>
            <a:rPr lang="en-US" sz="1100"/>
            <a:t>, s.icr_default_routed </a:t>
          </a:r>
        </a:p>
        <a:p>
          <a:r>
            <a:rPr lang="en-US" sz="1100"/>
            <a:t>+ s.network_default_routed + s.return_busy + s.calls_rona + s.return_release + s.calls_routed_non_agent + s.error_count + s.agent_error_count </a:t>
          </a:r>
        </a:p>
        <a:p>
          <a:r>
            <a:rPr lang="en-US" sz="1100"/>
            <a:t>+ s.outflow_contacts + s.return_ring + s.incomplete_calls as sysout</a:t>
          </a:r>
        </a:p>
        <a:p>
          <a:r>
            <a:rPr lang="en-US" sz="1100"/>
            <a:t>       </a:t>
          </a:r>
        </a:p>
        <a:p>
          <a:r>
            <a:rPr lang="en-US" sz="1100"/>
            <a:t>from cisco_enterprise_cc.cc_s_acd_interval s inner join cisco_enterprise_cc.cc_s_contact_queue q on q.contact_queue_id = s.contact_queue_id </a:t>
          </a:r>
        </a:p>
        <a:p>
          <a:r>
            <a:rPr lang="en-US" sz="1100"/>
            <a:t>inner join cc_s_interval itv on s.interval_id = itv.interval_id</a:t>
          </a:r>
        </a:p>
        <a:p>
          <a:r>
            <a:rPr lang="en-US" sz="1100"/>
            <a:t>where s.interval_date &gt;= '13-Jan-2016'</a:t>
          </a:r>
        </a:p>
        <a:p>
          <a:r>
            <a:rPr lang="en-US" sz="1100"/>
            <a:t>and 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4,2,3;</a:t>
          </a:r>
        </a:p>
        <a:p>
          <a:endParaRPr lang="en-US" sz="1100"/>
        </a:p>
        <a:p>
          <a:endParaRPr lang="en-US" sz="1100"/>
        </a:p>
        <a:p>
          <a:r>
            <a:rPr lang="en-US" sz="1100"/>
            <a:t>--PP16 Test</a:t>
          </a:r>
        </a:p>
        <a:p>
          <a:r>
            <a:rPr lang="en-US" sz="1100"/>
            <a:t>select testnumber,interval_date,queue_name,contacts_handled, </a:t>
          </a:r>
        </a:p>
        <a:p>
          <a:r>
            <a:rPr lang="en-US" sz="1100"/>
            <a:t>       (soa1 + soa2 + soa3 + soa4 + soa5 + soa6 + soa7 + soa8 + soa9 + soa10) as speed_of_answer,</a:t>
          </a:r>
        </a:p>
        <a:p>
          <a:r>
            <a:rPr lang="en-US" sz="1100"/>
            <a:t>       (so1 + so2 + so3 + so4 + so5 + so6 + so7 + so8 + so9 + so10 + so11) as sysout, contacts_handled - (soa1 + soa2 + soa3 + soa4 + soa5 + soa6 + soa7 + soa8 + soa9 + soa10) as diff</a:t>
          </a:r>
        </a:p>
        <a:p>
          <a:r>
            <a:rPr lang="en-US" sz="1100"/>
            <a:t>from (select 'PP 16' as TestNumber, ai.interval_date, cq.queue_name, sum(contacts_handled) as contacts_handled,</a:t>
          </a:r>
        </a:p>
        <a:p>
          <a:r>
            <a:rPr lang="en-US" sz="1100"/>
            <a:t>       sum(speed_of_answer_period_1) as soa1,sum(speed_of_answer_period_2) as soa2,sum(speed_of_answer_period_3) as soa3,</a:t>
          </a:r>
        </a:p>
        <a:p>
          <a:r>
            <a:rPr lang="en-US" sz="1100"/>
            <a:t>       sum(speed_of_answer_period_4) as soa4,sum(speed_of_answer_period_5) as soa5,sum(speed_of_answer_period_6) as soa6, </a:t>
          </a:r>
        </a:p>
        <a:p>
          <a:r>
            <a:rPr lang="en-US" sz="1100"/>
            <a:t>       sum(speed_of_answer_period_7) as soa7,sum(speed_of_answer_period_8) as soa8,sum(speed_of_answer_period_9) as soa9,</a:t>
          </a:r>
        </a:p>
        <a:p>
          <a:r>
            <a:rPr lang="en-US" sz="1100"/>
            <a:t>       sum(speed_of_answer_period_10) as soa10, sum(icr_default_routed) as so1, sum(network_default_routed) as so2 </a:t>
          </a:r>
        </a:p>
        <a:p>
          <a:r>
            <a:rPr lang="en-US" sz="1100"/>
            <a:t>       , sum(return_busy) as so3 , sum(calls_rona) as so4 , sum(return_release) as so5 , sum(calls_routed_non_agent) as so6</a:t>
          </a:r>
        </a:p>
        <a:p>
          <a:r>
            <a:rPr lang="en-US" sz="1100"/>
            <a:t>       , sum(error_count) as so7 , sum(agent_error_count) as so8 , sum(outflow_contacts) as so9 , sum(return_ring) as so10 , sum(incomplete_calls) as so11</a:t>
          </a:r>
        </a:p>
        <a:p>
          <a:r>
            <a:rPr lang="en-US" sz="1100"/>
            <a:t>from cisco_enterprise_cc.cc_s_acd_interval ai inner join cisco_enterprise_cc.cc_s_contact_queue cq on ai.contact_queue_id = cq.contact_queue_id and ai.interval_date &gt;= '13-Jan-2016' </a:t>
          </a:r>
        </a:p>
        <a:p>
          <a:r>
            <a:rPr lang="en-US" sz="1100"/>
            <a:t>and cq.queue_number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group by 'PP 16',ai.interval_date, cq.queue_name order by ai.interval_date desc ) sub1</a:t>
          </a:r>
        </a:p>
        <a:p>
          <a:r>
            <a:rPr lang="en-US" sz="1100"/>
            <a:t>where contacts_handled &lt;&gt; (soa1 + soa2 + soa3 + soa4 + soa5 + soa6 + soa7 + soa8 + soa9 + soa10)</a:t>
          </a:r>
        </a:p>
        <a:p>
          <a:r>
            <a:rPr lang="en-US" sz="1100"/>
            <a:t>order by interval_date, queue_name;</a:t>
          </a:r>
        </a:p>
        <a:p>
          <a:endParaRPr lang="en-US" sz="1100"/>
        </a:p>
        <a:p>
          <a:r>
            <a:rPr lang="en-US" sz="1100"/>
            <a:t>--PP16 Control</a:t>
          </a:r>
        </a:p>
        <a:p>
          <a:r>
            <a:rPr lang="en-US" sz="1100"/>
            <a:t>select testnumber, interval_date, sum(contacts_handled), sum(speed_of_answer), sum(sysout), sum(diff)</a:t>
          </a:r>
        </a:p>
        <a:p>
          <a:r>
            <a:rPr lang="en-US" sz="1100"/>
            <a:t>--, round((sum(diff)/sum(contacts_handled))*100,2) as error_rate_day</a:t>
          </a:r>
        </a:p>
        <a:p>
          <a:r>
            <a:rPr lang="en-US" sz="1100"/>
            <a:t> from ( select testnumber,interval_date,queue_name,contacts_handled,</a:t>
          </a:r>
        </a:p>
        <a:p>
          <a:r>
            <a:rPr lang="en-US" sz="1100"/>
            <a:t>       (soa1 + soa2 + soa3 + soa4 + soa5 + soa6 + soa7 + soa8 + soa9 + soa10) as speed_of_answer,</a:t>
          </a:r>
        </a:p>
        <a:p>
          <a:r>
            <a:rPr lang="en-US" sz="1100"/>
            <a:t>       (so1 + so2 + so3 + so4 + so5 + so6 + so7 + so8 + so9 + so10 + so11) as sysout, contacts_handled - (soa1 + soa2 + soa3 + soa4 + soa5 + soa6 + soa7 + soa8 + soa9 + soa10) as diff</a:t>
          </a:r>
        </a:p>
        <a:p>
          <a:r>
            <a:rPr lang="en-US" sz="1100"/>
            <a:t>from (select 'PP 16 detail' as TestNumber, ai.interval_date, cq.queue_name, sum(contacts_handled) as contacts_handled,</a:t>
          </a:r>
        </a:p>
        <a:p>
          <a:r>
            <a:rPr lang="en-US" sz="1100"/>
            <a:t>       sum(speed_of_answer_period_1) as soa1,sum(speed_of_answer_period_2) as soa2,sum(speed_of_answer_period_3) as soa3,</a:t>
          </a:r>
        </a:p>
        <a:p>
          <a:r>
            <a:rPr lang="en-US" sz="1100"/>
            <a:t>       sum(speed_of_answer_period_4) as soa4,sum(speed_of_answer_period_5) as soa5,sum(speed_of_answer_period_6) as soa6, </a:t>
          </a:r>
        </a:p>
        <a:p>
          <a:r>
            <a:rPr lang="en-US" sz="1100"/>
            <a:t>       sum(speed_of_answer_period_7) as soa7,sum(speed_of_answer_period_8) as soa8,sum(speed_of_answer_period_9) as soa9,</a:t>
          </a:r>
        </a:p>
        <a:p>
          <a:r>
            <a:rPr lang="en-US" sz="1100"/>
            <a:t>       sum(speed_of_answer_period_10) as soa10, sum(icr_default_routed) as so1, sum(network_default_routed) as so2 </a:t>
          </a:r>
        </a:p>
        <a:p>
          <a:r>
            <a:rPr lang="en-US" sz="1100"/>
            <a:t>       , sum(return_busy) as so3 , sum(calls_rona) as so4 , sum(return_release) as so5 , sum(calls_routed_non_agent) as so6</a:t>
          </a:r>
        </a:p>
        <a:p>
          <a:r>
            <a:rPr lang="en-US" sz="1100"/>
            <a:t>       , sum(error_count) as so7 , sum(agent_error_count) as so8 , sum(outflow_contacts) as so9 , sum(return_ring) as so10 , sum(incomplete_calls) as so11</a:t>
          </a:r>
        </a:p>
        <a:p>
          <a:r>
            <a:rPr lang="en-US" sz="1100"/>
            <a:t>from cisco_enterprise_cc.cc_s_acd_interval ai inner join cisco_enterprise_cc.cc_s_contact_queue cq on ai.contact_queue_id = cq.contact_queue_id</a:t>
          </a:r>
        </a:p>
        <a:p>
          <a:r>
            <a:rPr lang="en-US" sz="1100"/>
            <a:t>and ai.interval_date &gt;= '13-Jan-2016' </a:t>
          </a:r>
        </a:p>
        <a:p>
          <a:r>
            <a:rPr lang="en-US" sz="1100"/>
            <a:t>and substr(cq.queue_name, 1, 4) = 'IDBO'</a:t>
          </a:r>
        </a:p>
        <a:p>
          <a:r>
            <a:rPr lang="en-US" sz="1100"/>
            <a:t>group by 'PP 16 detail',ai.interval_date, cq.queue_name order by ai.interval_date desc ) sub1</a:t>
          </a:r>
        </a:p>
        <a:p>
          <a:r>
            <a:rPr lang="en-US" sz="1100"/>
            <a:t>where contacts_handled &lt;&gt; (soa1 + soa2 + soa3 + soa4 + soa5 + soa6 + soa7 + soa8 + soa9 + soa10) order by interval_date, queue_name )</a:t>
          </a:r>
        </a:p>
        <a:p>
          <a:r>
            <a:rPr lang="en-US" sz="1100"/>
            <a:t>group by testnumber, interval_date </a:t>
          </a:r>
        </a:p>
        <a:p>
          <a:r>
            <a:rPr lang="en-US" sz="1100"/>
            <a:t>order by testnumber, interval_date;</a:t>
          </a:r>
        </a:p>
        <a:p>
          <a:endParaRPr lang="en-US" sz="1100"/>
        </a:p>
        <a:p>
          <a:endParaRPr lang="en-US" sz="1100"/>
        </a:p>
        <a:p>
          <a:endParaRPr lang="en-US" sz="1100"/>
        </a:p>
        <a:p>
          <a:endParaRPr lang="en-US" sz="1100"/>
        </a:p>
        <a:p>
          <a:endParaRPr lang="en-US" sz="1100"/>
        </a:p>
        <a:p>
          <a:r>
            <a:rPr lang="en-US" sz="1100"/>
            <a:t>select </a:t>
          </a:r>
        </a:p>
        <a:p>
          <a:r>
            <a:rPr lang="en-US" sz="1100"/>
            <a:t>  'PP17' as TestNumber</a:t>
          </a:r>
        </a:p>
        <a:p>
          <a:r>
            <a:rPr lang="en-US" sz="1100"/>
            <a:t>  , f.f_call_center_actls_intrvl_id as int_id</a:t>
          </a:r>
        </a:p>
        <a:p>
          <a:r>
            <a:rPr lang="en-US" sz="1100"/>
            <a:t>  , d.d_date</a:t>
          </a:r>
        </a:p>
        <a:p>
          <a:r>
            <a:rPr lang="en-US" sz="1100"/>
            <a:t>  , cq.queue_name</a:t>
          </a:r>
        </a:p>
        <a:p>
          <a:r>
            <a:rPr lang="en-US" sz="1100"/>
            <a:t>  , service_level_answered_count as sla_count</a:t>
          </a:r>
        </a:p>
        <a:p>
          <a:r>
            <a:rPr lang="en-US" sz="1100"/>
            <a:t>  , speed_of_answer_period_1 as P1</a:t>
          </a:r>
        </a:p>
        <a:p>
          <a:r>
            <a:rPr lang="en-US" sz="1100"/>
            <a:t>  , speed_of_answer_period_1 + speed_of_answer_period_2 as P1_2</a:t>
          </a:r>
        </a:p>
        <a:p>
          <a:r>
            <a:rPr lang="en-US" sz="1100"/>
            <a:t>  , speed_of_answer_period_1 + speed_of_answer_period_2 + speed_of_answer_period_3 as P1_3</a:t>
          </a:r>
        </a:p>
        <a:p>
          <a:r>
            <a:rPr lang="en-US" sz="1100"/>
            <a:t>  , speed_of_answer_period_1 + speed_of_answer_period_2 + speed_of_answer_period_3 + speed_of_answer_period_4 as P1_4</a:t>
          </a:r>
        </a:p>
        <a:p>
          <a:r>
            <a:rPr lang="en-US" sz="1100"/>
            <a:t>  , speed_of_answer_period_1 + speed_of_answer_period_2 + speed_of_answer_period_3 + speed_of_answer_period_4 + speed_of_answer_period_5 as P1_5</a:t>
          </a:r>
        </a:p>
        <a:p>
          <a:r>
            <a:rPr lang="en-US" sz="1100"/>
            <a:t>  , speed_of_answer_period_1 + speed_of_answer_period_2 + speed_of_answer_period_3 + speed_of_answer_period_4 + speed_of_answer_period_5 + speed_of_answer_period_6 as P1_6</a:t>
          </a:r>
        </a:p>
        <a:p>
          <a:r>
            <a:rPr lang="en-US" sz="1100"/>
            <a:t>  , speed_of_answer_period_1 + speed_of_answer_period_2 + speed_of_answer_period_3 + speed_of_answer_period_4 + speed_of_answer_period_5 + speed_of_answer_period_6 + speed_of_answer_period_7 as P1_7</a:t>
          </a:r>
        </a:p>
        <a:p>
          <a:r>
            <a:rPr lang="en-US" sz="1100"/>
            <a:t>  , speed_of_answer_period_1 + speed_of_answer_period_2 + speed_of_answer_period_3 + speed_of_answer_period_4 + speed_of_answer_period_5 + speed_of_answer_period_6 + speed_of_answer_period_7 + speed_of_answer_period_8 as P1_8</a:t>
          </a:r>
        </a:p>
        <a:p>
          <a:r>
            <a:rPr lang="en-US" sz="1100"/>
            <a:t>  , speed_of_answer_period_1 + speed_of_answer_period_2 + speed_of_answer_period_3 + speed_of_answer_period_4 + speed_of_answer_period_5 + speed_of_answer_period_6 + speed_of_answer_period_7 + speed_of_answer_period_8 +speed_of_answer_period_9 as P1_9</a:t>
          </a:r>
        </a:p>
        <a:p>
          <a:r>
            <a:rPr lang="en-US" sz="1100"/>
            <a:t>  , speed_of_answer_period_1 + speed_of_answer_period_2 + speed_of_answer_period_3 + speed_of_answer_period_4 + speed_of_answer_period_5 + speed_of_answer_period_6 + speed_of_answer_period_7 + speed_of_answer_period_8 +speed_of_answer_period_9 + speed_of_answer_period_10 as P1_10</a:t>
          </a:r>
        </a:p>
        <a:p>
          <a:r>
            <a:rPr lang="en-US" sz="1100"/>
            <a:t>from  cisco_enterprise_cc.cc_f_actuals_queue_interval f </a:t>
          </a:r>
        </a:p>
        <a:p>
          <a:r>
            <a:rPr lang="en-US" sz="1100"/>
            <a:t>inner join cisco_enterprise_cc.cc_d_dates d on f.d_date_id = d.d_date_id</a:t>
          </a:r>
        </a:p>
        <a:p>
          <a:r>
            <a:rPr lang="en-US" sz="1100"/>
            <a:t>inner join cisco_enterprise_cc.cc_d_contact_queue cq on  cq.d_contact_queue_id = f.d_contact_queue_id</a:t>
          </a:r>
        </a:p>
        <a:p>
          <a:r>
            <a:rPr lang="en-US" sz="1100"/>
            <a:t>where d.d_date &gt;= '13-Jan-2016' </a:t>
          </a:r>
        </a:p>
        <a:p>
          <a:r>
            <a:rPr lang="en-US" sz="1100"/>
            <a:t>and cq.queue_number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and   service_level_answered_count &gt; 0</a:t>
          </a:r>
        </a:p>
        <a:p>
          <a:r>
            <a:rPr lang="en-US" sz="1100"/>
            <a:t>and   service_level_answered_count &lt;&gt; speed_of_answer_period_1 + speed_of_answer_period_2 + speed_of_answer_period_3 -- this needs to be reviewed for the project logic may need to change</a:t>
          </a:r>
        </a:p>
        <a:p>
          <a:r>
            <a:rPr lang="en-US" sz="1100"/>
            <a:t>order by d.d_date desc;</a:t>
          </a:r>
        </a:p>
        <a:p>
          <a:endParaRPr lang="en-US" sz="1100"/>
        </a:p>
        <a:p>
          <a:endParaRPr lang="en-US" sz="1100"/>
        </a:p>
        <a:p>
          <a:r>
            <a:rPr lang="en-US" sz="1100"/>
            <a:t>select 'PP18' as TestNumber,ai.acd_interval_id, ai.interval_date, cq.queue_name, ai.contacts_abandoned,  </a:t>
          </a:r>
        </a:p>
        <a:p>
          <a:r>
            <a:rPr lang="en-US" sz="1100"/>
            <a:t>       ai.calls_abandoned_period_1+ai.calls_abandoned_period_2+ai.calls_abandoned_period_3+ai.calls_abandoned_period_4+</a:t>
          </a:r>
        </a:p>
        <a:p>
          <a:r>
            <a:rPr lang="en-US" sz="1100"/>
            <a:t>       ai.calls_abandoned_period_5+ai.calls_abandoned_period_6+ai.calls_abandoned_period_7+ai.calls_abandoned_period_8+</a:t>
          </a:r>
        </a:p>
        <a:p>
          <a:r>
            <a:rPr lang="en-US" sz="1100"/>
            <a:t>       ai.calls_abandoned_period_9+ai.calls_abandoned_period_10 as calls_abandoned_periods</a:t>
          </a:r>
        </a:p>
        <a:p>
          <a:r>
            <a:rPr lang="en-US" sz="1100"/>
            <a:t>from cisco_enterprise_cc.cc_s_acd_interval ai</a:t>
          </a:r>
        </a:p>
        <a:p>
          <a:r>
            <a:rPr lang="en-US" sz="1100"/>
            <a:t>inner join cisco_enterprise_cc.cc_s_contact_queue cq on ai.contact_queue_id = cq.contact_queue_id</a:t>
          </a:r>
        </a:p>
        <a:p>
          <a:r>
            <a:rPr lang="en-US" sz="1100"/>
            <a:t>where ai.contacts_abandoned != ai.calls_abandoned_period_1+ai.calls_abandoned_period_2+ai.calls_abandoned_period_3+</a:t>
          </a:r>
        </a:p>
        <a:p>
          <a:r>
            <a:rPr lang="en-US" sz="1100"/>
            <a:t>      ai.calls_abandoned_period_4+ai.calls_abandoned_period_5+ai.calls_abandoned_period_6+ai.calls_abandoned_period_7+</a:t>
          </a:r>
        </a:p>
        <a:p>
          <a:r>
            <a:rPr lang="en-US" sz="1100"/>
            <a:t>      ai.calls_abandoned_period_8+ai.calls_abandoned_period_9+ai.calls_abandoned_period_10 </a:t>
          </a:r>
        </a:p>
        <a:p>
          <a:r>
            <a:rPr lang="en-US" sz="1100"/>
            <a:t>and ai.interval_date &gt;= '13-Jan-2016' </a:t>
          </a:r>
        </a:p>
        <a:p>
          <a:r>
            <a:rPr lang="en-US" sz="1100"/>
            <a:t>and cq.queue_number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queue_name, ai.interval_date desc;</a:t>
          </a:r>
        </a:p>
        <a:p>
          <a:endParaRPr lang="en-US" sz="1100"/>
        </a:p>
        <a:p>
          <a:endParaRPr lang="en-US" sz="1100"/>
        </a:p>
        <a:p>
          <a:r>
            <a:rPr lang="en-US" sz="1100"/>
            <a:t>select * from (select testnumber, interval_date,queue_name, sum(contacts_handled) as handled_day,</a:t>
          </a:r>
        </a:p>
        <a:p>
          <a:r>
            <a:rPr lang="en-US" sz="1100"/>
            <a:t>       sum(service_level_answered_count) as sla_count_day, sum(sysout_calls) as sysout_day</a:t>
          </a:r>
        </a:p>
        <a:p>
          <a:r>
            <a:rPr lang="en-US" sz="1100"/>
            <a:t>from (select 'PP19' as TestNumber, ai.acd_interval_id, ai.interval_date, cq.queue_name, </a:t>
          </a:r>
        </a:p>
        <a:p>
          <a:r>
            <a:rPr lang="en-US" sz="1100"/>
            <a:t>       ai.contacts_handled, ai.service_level_answered_count,       </a:t>
          </a:r>
        </a:p>
        <a:p>
          <a:r>
            <a:rPr lang="en-US" sz="1100"/>
            <a:t>       ai.icr_default_routed + ai.network_default_routed + ai.return_busy + ai.calls_rona + ai.return_release + </a:t>
          </a:r>
        </a:p>
        <a:p>
          <a:r>
            <a:rPr lang="en-US" sz="1100"/>
            <a:t>       ai.calls_routed_non_agent + ai.error_count + ai.agent_error_count + ai.outflow_contacts + ai.return_ring +</a:t>
          </a:r>
        </a:p>
        <a:p>
          <a:r>
            <a:rPr lang="en-US" sz="1100"/>
            <a:t>       ai.incomplete_calls as sysout_calls       </a:t>
          </a:r>
        </a:p>
        <a:p>
          <a:r>
            <a:rPr lang="en-US" sz="1100"/>
            <a:t>from cisco_enterprise_cc.cc_s_acd_interval ai inner join cisco_enterprise_cc.cc_s_contact_queue cq on ai.contact_queue_id = cq.contact_queue_id where ai.interval_date &gt;= '13-Jan-2016' </a:t>
          </a:r>
        </a:p>
        <a:p>
          <a:r>
            <a:rPr lang="en-US" sz="1100"/>
            <a:t>and cq.queue_number in(select distinct queue_number</a:t>
          </a:r>
        </a:p>
        <a:p>
          <a:r>
            <a:rPr lang="en-US" sz="1100"/>
            <a:t>from   cisco_enterprise_cc.cc_c_contact_queue q</a:t>
          </a:r>
        </a:p>
        <a:p>
          <a:r>
            <a:rPr lang="en-US" sz="1100"/>
            <a:t>join cisco_enterprise_cc.cc_c_filter f </a:t>
          </a:r>
        </a:p>
        <a:p>
          <a:r>
            <a:rPr lang="en-US" sz="1100"/>
            <a:t>on q.queue_number = f.value</a:t>
          </a:r>
        </a:p>
        <a:p>
          <a:r>
            <a:rPr lang="en-US" sz="1100"/>
            <a:t>where f.filter_type in ('ACD_CALL_TYPE_ID_INC')</a:t>
          </a:r>
        </a:p>
        <a:p>
          <a:r>
            <a:rPr lang="en-US" sz="1100"/>
            <a:t>and substr(q.queue_name, 1, 4) = 'IDBO')</a:t>
          </a:r>
        </a:p>
        <a:p>
          <a:r>
            <a:rPr lang="en-US" sz="1100"/>
            <a:t>order by cq.queue_name, ai.interval_date desc )</a:t>
          </a:r>
        </a:p>
        <a:p>
          <a:r>
            <a:rPr lang="en-US" sz="1100"/>
            <a:t>group by testnumber, queue_name, interval_date</a:t>
          </a:r>
        </a:p>
        <a:p>
          <a:r>
            <a:rPr lang="en-US" sz="1100"/>
            <a:t>order by testnumber, interval_date, queue_name )</a:t>
          </a:r>
        </a:p>
        <a:p>
          <a:r>
            <a:rPr lang="en-US" sz="1100"/>
            <a:t>where sla_count_day &gt; handled_day; -- sla count logic may need modification for the proje</a:t>
          </a:r>
        </a:p>
        <a:p>
          <a:endParaRPr lang="en-US" sz="1100"/>
        </a:p>
        <a:p>
          <a:endParaRPr lang="en-US" sz="1100"/>
        </a:p>
        <a:p>
          <a:r>
            <a:rPr lang="en-US" sz="1100"/>
            <a:t>select  'PP21'  as TestNumber, ai.acd_interval_id, si.interval_start_date, cq.queue_name, ai.contacts_handled, ai.min_handle_time, ai.min_speed_of_answer, </a:t>
          </a:r>
        </a:p>
        <a:p>
          <a:r>
            <a:rPr lang="en-US" sz="1100"/>
            <a:t>ai.min_speed_to_handle, ai.max_handle_time, ai.max_speed_of_answer, ai.max_speed_to_handle from cisco_enterprise_cc.CC_S_ACD_INTERVAL ai </a:t>
          </a:r>
        </a:p>
        <a:p>
          <a:r>
            <a:rPr lang="en-US" sz="1100"/>
            <a:t>inner join cisco_enterprise_cc.cc_s_interval si on ai.interval_id = si.interval_id</a:t>
          </a:r>
        </a:p>
        <a:p>
          <a:r>
            <a:rPr lang="en-US" sz="1100"/>
            <a:t>inner join cisco_enterprise_cc.CC_S_contact_queue cq on ai.contact_queue_id = cq.contact_queue_id where contacts_handled &gt; 5 </a:t>
          </a:r>
        </a:p>
        <a:p>
          <a:r>
            <a:rPr lang="en-US" sz="1100"/>
            <a:t>and (min_handle_time = 0 OR min_speed_of_answer = 0 or min_speed_to_handle = 0 or max_handle_time = 0 </a:t>
          </a:r>
        </a:p>
        <a:p>
          <a:r>
            <a:rPr lang="en-US" sz="1100"/>
            <a:t>or max_speed_of_answer = 0 or max_speed_to_handle = 0) and ai.interval_date &gt;= '01-Jul-2016' </a:t>
          </a:r>
        </a:p>
        <a:p>
          <a:r>
            <a:rPr lang="en-US" sz="1100"/>
            <a:t>and substr(queue_name, 1, 4) = 'IDBO'</a:t>
          </a:r>
        </a:p>
        <a:p>
          <a:r>
            <a:rPr lang="en-US" sz="1100"/>
            <a:t>order by si.interval_start_date desc;</a:t>
          </a:r>
        </a:p>
        <a:p>
          <a:endParaRPr lang="en-US" sz="1100"/>
        </a:p>
        <a:p>
          <a:endParaRPr lang="en-US" sz="1100"/>
        </a:p>
        <a:p>
          <a:endParaRPr lang="en-US" sz="1100"/>
        </a:p>
        <a:p>
          <a:endParaRPr lang="en-US" sz="1100"/>
        </a:p>
      </xdr:txBody>
    </xdr:sp>
    <xdr:clientData/>
  </xdr:twoCellAnchor>
  <xdr:twoCellAnchor>
    <xdr:from>
      <xdr:col>13</xdr:col>
      <xdr:colOff>388620</xdr:colOff>
      <xdr:row>12</xdr:row>
      <xdr:rowOff>91440</xdr:rowOff>
    </xdr:from>
    <xdr:to>
      <xdr:col>18</xdr:col>
      <xdr:colOff>350520</xdr:colOff>
      <xdr:row>15</xdr:row>
      <xdr:rowOff>106680</xdr:rowOff>
    </xdr:to>
    <xdr:sp macro="" textlink="">
      <xdr:nvSpPr>
        <xdr:cNvPr id="8" name="TextBox 7"/>
        <xdr:cNvSpPr txBox="1"/>
      </xdr:nvSpPr>
      <xdr:spPr>
        <a:xfrm>
          <a:off x="8313420" y="2286000"/>
          <a:ext cx="3009900" cy="563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
          </a:r>
        </a:p>
        <a:p>
          <a:r>
            <a:rPr lang="en-US" sz="1100"/>
            <a:t>Report Validation Checks</a:t>
          </a:r>
        </a:p>
        <a:p>
          <a:endParaRPr lang="en-US" sz="1100"/>
        </a:p>
        <a:p>
          <a:r>
            <a:rPr lang="en-US" sz="1100"/>
            <a:t>Find and Replace the Following: </a:t>
          </a:r>
        </a:p>
        <a:p>
          <a:endParaRPr lang="en-US" sz="1100"/>
        </a:p>
        <a:p>
          <a:r>
            <a:rPr lang="en-US" sz="1100"/>
            <a:t>1. For the correct date: </a:t>
          </a:r>
        </a:p>
        <a:p>
          <a:r>
            <a:rPr lang="en-US" sz="1100"/>
            <a:t>between '01-Oct-2016'  and '31-Oct-2016' </a:t>
          </a:r>
        </a:p>
        <a:p>
          <a:endParaRPr lang="en-US" sz="1100"/>
        </a:p>
        <a:p>
          <a:r>
            <a:rPr lang="en-US" sz="1100"/>
            <a:t>2. For the correct project: </a:t>
          </a:r>
        </a:p>
        <a:p>
          <a:r>
            <a:rPr lang="en-US" sz="1100"/>
            <a:t>'CA HCO'</a:t>
          </a:r>
        </a:p>
        <a:p>
          <a:endParaRPr lang="en-US" sz="1100"/>
        </a:p>
        <a:p>
          <a:endParaRPr lang="en-US" sz="1100"/>
        </a:p>
        <a:p>
          <a:r>
            <a:rPr lang="en-US" sz="1100"/>
            <a:t>Note: If grouping is required for a test, it should be done manually as needed - queries are either in total aggregate or by program</a:t>
          </a:r>
        </a:p>
        <a:p>
          <a:r>
            <a:rPr lang="en-US" sz="1100"/>
            <a:t>*/</a:t>
          </a:r>
        </a:p>
        <a:p>
          <a:endParaRPr lang="en-US" sz="1100"/>
        </a:p>
        <a:p>
          <a:r>
            <a:rPr lang="en-US" sz="1100"/>
            <a:t>--Set Schema</a:t>
          </a:r>
        </a:p>
        <a:p>
          <a:r>
            <a:rPr lang="en-US" sz="1100"/>
            <a:t>--alter session set current_schema = cisco_enterprise_cc; </a:t>
          </a:r>
        </a:p>
        <a:p>
          <a:endParaRPr lang="en-US" sz="1100"/>
        </a:p>
        <a:p>
          <a:endParaRPr lang="en-US" sz="1100"/>
        </a:p>
        <a:p>
          <a:r>
            <a:rPr lang="en-US" sz="1100"/>
            <a:t>--====================================================================AGENT EFFICIENCY======================================================================--</a:t>
          </a:r>
        </a:p>
        <a:p>
          <a:r>
            <a:rPr lang="en-US" sz="1100"/>
            <a:t>--1.0</a:t>
          </a:r>
        </a:p>
        <a:p>
          <a:r>
            <a:rPr lang="en-US" sz="1100"/>
            <a:t>select '1.0' as Dashboard</a:t>
          </a:r>
        </a:p>
        <a:p>
          <a:r>
            <a:rPr lang="en-US" sz="1100"/>
            <a:t>,round(((sum(f.talk_seconds+f.hold_seconds+f.wrap_seconds+NVL(AM.ACW,0))) </a:t>
          </a:r>
        </a:p>
        <a:p>
          <a:r>
            <a:rPr lang="en-US" sz="1100"/>
            <a:t>        / sum(f.talk_seconds+f.hold_seconds+f.wrap_seconds+f.idle_seconds+NVL(AM.ACW,0)))*100,2) as "Occupancy %"</a:t>
          </a:r>
        </a:p>
        <a:p>
          <a:r>
            <a:rPr lang="en-US" sz="1100"/>
            <a:t>,round((sum(f.talk_seconds+f.hold_seconds+f.wrap_seconds+f.idle_seconds+NVL(AM.ACW,0)) / sum(login_seconds - NVL(Lunch,0))*100), 2) as "At Work Availibility %" </a:t>
          </a:r>
        </a:p>
        <a:p>
          <a:endParaRPr lang="en-US" sz="1100"/>
        </a:p>
        <a:p>
          <a:r>
            <a:rPr lang="en-US" sz="1100"/>
            <a:t>--Note: There appears to be a component missing out of the numerator for the below metric: </a:t>
          </a:r>
        </a:p>
        <a:p>
          <a:r>
            <a:rPr lang="en-US" sz="1100"/>
            <a:t>,round(  (sum(f.talk_seconds)+sum(f.hold_seconds)+sum(f.wrap_seconds)+sum(f.external_seconds)+sum(f.internal_seconds)+sum(f.preview_talk_seconds)+</a:t>
          </a:r>
        </a:p>
        <a:p>
          <a:r>
            <a:rPr lang="en-US" sz="1100"/>
            <a:t>                 sum(f.predictive_talk_seconds)+sum(f.talk_reserve_seconds)+sum(f.ring_seconds)+sum(f.idle_seconds)) / sum(f.login_seconds)*100 ,2) as "Total Ready %"         </a:t>
          </a:r>
        </a:p>
        <a:p>
          <a:r>
            <a:rPr lang="en-US" sz="1100"/>
            <a:t>                 </a:t>
          </a:r>
        </a:p>
        <a:p>
          <a:r>
            <a:rPr lang="en-US" sz="1100"/>
            <a:t>,round( ( (sum(Not_Ready_Seconds)) / sum(f.login_seconds) ) * 100,2) as "Total Not Ready %" </a:t>
          </a:r>
        </a:p>
        <a:p>
          <a:endParaRPr lang="en-US" sz="1100"/>
        </a:p>
        <a:p>
          <a:r>
            <a:rPr lang="en-US" sz="1100"/>
            <a:t>--Same comment as above for the below: </a:t>
          </a:r>
        </a:p>
        <a:p>
          <a:r>
            <a:rPr lang="en-US" sz="1100"/>
            <a:t>,round((sum(f.talk_seconds)/(sum(f.talk_seconds)+sum(f.hold_seconds)+sum(f.wrap_seconds)+sum(f.external_seconds)+sum(f.internal_seconds)+sum(f.preview_talk_seconds)+</a:t>
          </a:r>
        </a:p>
        <a:p>
          <a:r>
            <a:rPr lang="en-US" sz="1100"/>
            <a:t>                 sum(f.predictive_talk_seconds)+sum(f.talk_reserve_seconds)+sum(f.ring_seconds)+sum(f.idle_seconds)))*100,2) as "Talk Time %"</a:t>
          </a:r>
        </a:p>
        <a:p>
          <a:r>
            <a:rPr lang="en-US" sz="1100"/>
            <a:t>,round((sum(f.idle_seconds)/(sum(f.talk_seconds)+sum(f.hold_seconds)+sum(f.wrap_seconds)+sum(f.external_seconds)+sum(f.internal_seconds)+sum(f.preview_talk_seconds)+</a:t>
          </a:r>
        </a:p>
        <a:p>
          <a:r>
            <a:rPr lang="en-US" sz="1100"/>
            <a:t>                 sum(f.predictive_talk_seconds)+sum(f.talk_reserve_seconds)+sum(f.ring_seconds)+sum(f.idle_seconds)))*100,2) as "Idle Time %"</a:t>
          </a:r>
        </a:p>
        <a:p>
          <a:r>
            <a:rPr lang="en-US" sz="1100"/>
            <a:t>,round((sum(f.hold_seconds)/(sum(f.talk_seconds)+sum(f.hold_seconds)+sum(f.wrap_seconds)+sum(f.external_seconds)+sum(f.internal_seconds)+sum(f.preview_talk_seconds)+</a:t>
          </a:r>
        </a:p>
        <a:p>
          <a:r>
            <a:rPr lang="en-US" sz="1100"/>
            <a:t>                 sum(f.predictive_talk_seconds)+sum(f.talk_reserve_seconds)+sum(f.ring_seconds)+sum(f.idle_seconds)))*100,2) as "Hold Time %"</a:t>
          </a:r>
        </a:p>
        <a:p>
          <a:r>
            <a:rPr lang="en-US" sz="1100"/>
            <a:t>,round((sum(f.wrap_seconds)/(sum(f.talk_seconds)+sum(f.hold_seconds)+sum(f.wrap_seconds)+sum(f.external_seconds)+sum(f.internal_seconds)+sum(f.preview_talk_seconds)+</a:t>
          </a:r>
        </a:p>
        <a:p>
          <a:r>
            <a:rPr lang="en-US" sz="1100"/>
            <a:t>                 sum(f.predictive_talk_seconds)+sum(f.talk_reserve_seconds)+sum(f.ring_seconds)+sum(f.idle_seconds)))*100,2) as "Wrap Time %"</a:t>
          </a:r>
        </a:p>
        <a:p>
          <a:r>
            <a:rPr lang="en-US" sz="1100"/>
            <a:t>,round((sum(f.preview_talk_seconds+f.predictive_talk_seconds+f.talk_reserve_seconds)/(sum(f.talk_seconds)+sum(f.hold_seconds)+sum(f.wrap_seconds)+sum(f.external_seconds)+sum(f.internal_seconds)+sum(f.preview_talk_seconds)+</a:t>
          </a:r>
        </a:p>
        <a:p>
          <a:r>
            <a:rPr lang="en-US" sz="1100"/>
            <a:t>                 sum(f.predictive_talk_seconds)+sum(f.talk_reserve_seconds)+sum(f.ring_seconds)+sum(f.idle_seconds)))*100,2) as "Other Talk Time"</a:t>
          </a:r>
        </a:p>
        <a:p>
          <a:r>
            <a:rPr lang="en-US" sz="1100"/>
            <a:t>,round((sum(f.internal_seconds)/(sum(f.talk_seconds)+sum(f.hold_seconds)+sum(f.wrap_seconds)+sum(f.external_seconds)+sum(f.internal_seconds)+sum(f.preview_talk_seconds)+</a:t>
          </a:r>
        </a:p>
        <a:p>
          <a:r>
            <a:rPr lang="en-US" sz="1100"/>
            <a:t>                 sum(f.predictive_talk_seconds)+sum(f.talk_reserve_seconds)+sum(f.ring_seconds)+sum(f.idle_seconds)))*100,2) as "Internal Talk Time %"     </a:t>
          </a:r>
        </a:p>
        <a:p>
          <a:r>
            <a:rPr lang="en-US" sz="1100"/>
            <a:t>,round((sum(f.ring_seconds)/(sum(f.talk_seconds)+sum(f.hold_seconds)+sum(f.wrap_seconds)+sum(f.external_seconds)+sum(f.internal_seconds)+sum(f.preview_talk_seconds)+</a:t>
          </a:r>
        </a:p>
        <a:p>
          <a:r>
            <a:rPr lang="en-US" sz="1100"/>
            <a:t>                 sum(f.predictive_talk_seconds)+sum(f.talk_reserve_seconds)+sum(f.ring_seconds)+sum(f.idle_seconds)))*100,2) as "Ring Time %"</a:t>
          </a:r>
        </a:p>
        <a:p>
          <a:r>
            <a:rPr lang="en-US" sz="1100"/>
            <a:t>,round((sum(f.external_seconds)/(sum(f.talk_seconds)+sum(f.hold_seconds)+sum(f.wrap_seconds)+sum(f.external_seconds)+sum(f.internal_seconds)+sum(f.preview_talk_seconds)+</a:t>
          </a:r>
        </a:p>
        <a:p>
          <a:r>
            <a:rPr lang="en-US" sz="1100"/>
            <a:t>                 sum(f.predictive_talk_seconds)+sum(f.talk_reserve_seconds)+sum(f.ring_seconds)+sum(f.idle_seconds)))*100,2) as "External Talk Time %"</a:t>
          </a:r>
        </a:p>
        <a:p>
          <a:endParaRPr lang="en-US" sz="1100"/>
        </a:p>
        <a:p>
          <a:r>
            <a:rPr lang="en-US" sz="1100"/>
            <a:t>--,to_char(to_date(round((sum(am.total_pd_time) / sum(f.handle_calls_count)),0),'sssss'),'hh24:mi:ss') as "Labor Time per Call"</a:t>
          </a:r>
        </a:p>
        <a:p>
          <a:endParaRPr lang="en-US" sz="1100"/>
        </a:p>
        <a:p>
          <a:r>
            <a:rPr lang="en-US" sz="1100"/>
            <a:t>,round((sum(am.other)/sum(am.notrdy))*100,2) as "Other Time %"</a:t>
          </a:r>
        </a:p>
        <a:p>
          <a:r>
            <a:rPr lang="en-US" sz="1100"/>
            <a:t>,round((sum(am.lunch_break)/sum(am.notrdy))*100,2) as "Lunch and Break Time %"</a:t>
          </a:r>
        </a:p>
        <a:p>
          <a:r>
            <a:rPr lang="en-US" sz="1100"/>
            <a:t>,round((sum(am.meeting)/sum(am.notrdy))*100,2) as "Meeting Time %"</a:t>
          </a:r>
        </a:p>
        <a:p>
          <a:r>
            <a:rPr lang="en-US" sz="1100"/>
            <a:t>,round((sum(am.train)/sum(am.notrdy))*100,2) as "Training Time %"</a:t>
          </a:r>
        </a:p>
        <a:p>
          <a:r>
            <a:rPr lang="en-US" sz="1100"/>
            <a:t>--,round((sum(am.unknown)/sum(am.notrdy))*100,2) as "Unknown Time %"</a:t>
          </a:r>
        </a:p>
        <a:p>
          <a:r>
            <a:rPr lang="en-US" sz="1100"/>
            <a:t>--,round(coalesce(sum(f.scheduled_shift_minutes)/60,0),0) as "Scheduled Agent Time" </a:t>
          </a:r>
        </a:p>
        <a:p>
          <a:r>
            <a:rPr lang="en-US" sz="1100"/>
            <a:t>,round(coalesce(sum(f.actual_shift_minutes)/60,0),0) as "Actual Agent Time"</a:t>
          </a:r>
        </a:p>
        <a:p>
          <a:r>
            <a:rPr lang="en-US" sz="1100"/>
            <a:t>,round(coalesce(sum(f.scheduled_shift_minutes)/60,0) - coalesce(sum(f.actual_shift_minutes)/60,0),0) as Variance</a:t>
          </a:r>
        </a:p>
        <a:p>
          <a:r>
            <a:rPr lang="en-US" sz="1100"/>
            <a:t>--,round((( sum((f.login_seconds)/60) - (sum(f.talk_seconds+f.hold_seconds+f.wrap_seconds+f.external_seconds+f.internal_seconds+f.preview_talk_seconds+f.predictive_talk_seconds+f.talk_reserve_seconds+f.ring_seconds+f.idle_seconds)/60) - sum(am.NotReady)) </a:t>
          </a:r>
        </a:p>
        <a:p>
          <a:r>
            <a:rPr lang="en-US" sz="1100"/>
            <a:t>--                       / (sum(f.login_seconds)/60)*100) ,2) as "Logged in Time Error %"</a:t>
          </a:r>
        </a:p>
        <a:p>
          <a:endParaRPr lang="en-US" sz="1100"/>
        </a:p>
        <a:p>
          <a:r>
            <a:rPr lang="en-US" sz="1100"/>
            <a:t>--Main Source 1: </a:t>
          </a:r>
        </a:p>
        <a:p>
          <a:r>
            <a:rPr lang="en-US" sz="1100"/>
            <a:t>from  cc_f_agent_by_date_sv f</a:t>
          </a:r>
        </a:p>
        <a:p>
          <a:r>
            <a:rPr lang="en-US" sz="1100"/>
            <a:t>join cc_d_dates_sv d </a:t>
          </a:r>
        </a:p>
        <a:p>
          <a:r>
            <a:rPr lang="en-US" sz="1100"/>
            <a:t>  on f.d_date_id = d.d_date_id</a:t>
          </a:r>
        </a:p>
        <a:p>
          <a:r>
            <a:rPr lang="en-US" sz="1100"/>
            <a:t>join cc_d_agent_sv a </a:t>
          </a:r>
        </a:p>
        <a:p>
          <a:r>
            <a:rPr lang="en-US" sz="1100"/>
            <a:t>  on f.d_agent_id = a.d_agent_id</a:t>
          </a:r>
        </a:p>
        <a:p>
          <a:r>
            <a:rPr lang="en-US" sz="1100"/>
            <a:t>join cc_d_program_sv p </a:t>
          </a:r>
        </a:p>
        <a:p>
          <a:r>
            <a:rPr lang="en-US" sz="1100"/>
            <a:t>  on f.d_program_id = p.program_id</a:t>
          </a:r>
        </a:p>
        <a:p>
          <a:r>
            <a:rPr lang="en-US" sz="1100"/>
            <a:t>join cc_d_project_targets_sv pj </a:t>
          </a:r>
        </a:p>
        <a:p>
          <a:r>
            <a:rPr lang="en-US" sz="1100"/>
            <a:t>  on f.d_project_targets_id = pj.d_project_targets_id</a:t>
          </a:r>
        </a:p>
        <a:p>
          <a:r>
            <a:rPr lang="en-US" sz="1100"/>
            <a:t>join cc_d_project_sv j </a:t>
          </a:r>
        </a:p>
        <a:p>
          <a:r>
            <a:rPr lang="en-US" sz="1100"/>
            <a:t>  on pj.project_id = j.project_id</a:t>
          </a:r>
        </a:p>
        <a:p>
          <a:r>
            <a:rPr lang="en-US" sz="1100"/>
            <a:t>join cc_d_site_sv s </a:t>
          </a:r>
        </a:p>
        <a:p>
          <a:r>
            <a:rPr lang="en-US" sz="1100"/>
            <a:t>  on f.d_site_id = s.d_site_id</a:t>
          </a:r>
        </a:p>
        <a:p>
          <a:r>
            <a:rPr lang="en-US" sz="1100"/>
            <a:t>--Main Source 2: </a:t>
          </a:r>
        </a:p>
        <a:p>
          <a:r>
            <a:rPr lang="en-US" sz="1100"/>
            <a:t>left join </a:t>
          </a:r>
        </a:p>
        <a:p>
          <a:r>
            <a:rPr lang="en-US" sz="1100"/>
            <a:t>  (select f.d_date_id, d_agent_id</a:t>
          </a:r>
        </a:p>
        <a:p>
          <a:r>
            <a:rPr lang="en-US" sz="1100"/>
            <a:t>  ,sum(case when f.d_activity_type_id = 8711 then Activity_Minutes * 60 else 0 end)ACW</a:t>
          </a:r>
        </a:p>
        <a:p>
          <a:r>
            <a:rPr lang="en-US" sz="1100"/>
            <a:t>  ,sum(case when f.d_activity_type_id = 25 then Activity_Minutes * 60 else 0 end)Lunch</a:t>
          </a:r>
        </a:p>
        <a:p>
          <a:r>
            <a:rPr lang="en-US" sz="1100"/>
            <a:t>  ,sum(case when activity_type_category in ('Lunch and Break', 'Meeting', 'Training','Other Not Ready') then Activity_Minutes else 0 end)NotReady</a:t>
          </a:r>
        </a:p>
        <a:p>
          <a:r>
            <a:rPr lang="en-US" sz="1100"/>
            <a:t>  ,sum(case when at.is_paid_flag = 1 then f.activity_minutes else 0 end)*60 as total_pd_time </a:t>
          </a:r>
        </a:p>
        <a:p>
          <a:r>
            <a:rPr lang="en-US" sz="1100"/>
            <a:t>  ,sum(case when at.activity_type_category = 'Training' then f.activity_minutes else 0 end)/60 as train</a:t>
          </a:r>
        </a:p>
        <a:p>
          <a:r>
            <a:rPr lang="en-US" sz="1100"/>
            <a:t>  ,sum(case when at.activity_type_category = 'Meeting' then f.activity_minutes else 0 end)/60 as meeting</a:t>
          </a:r>
        </a:p>
        <a:p>
          <a:r>
            <a:rPr lang="en-US" sz="1100"/>
            <a:t>  ,sum(case when at.activity_type_category = 'Lunch and Break' then f.activity_minutes else 0 end)/60 as lunch_break         </a:t>
          </a:r>
        </a:p>
        <a:p>
          <a:r>
            <a:rPr lang="en-US" sz="1100"/>
            <a:t>  ,sum(case when at.activity_type_category = 'Other Not Ready' then f.activity_minutes else 0 end)/60 as other</a:t>
          </a:r>
        </a:p>
        <a:p>
          <a:r>
            <a:rPr lang="en-US" sz="1100"/>
            <a:t>  ,sum(case when at.activity_type_category = 'Unknown' then f.activity_minutes else 0 end)/60 as unknown</a:t>
          </a:r>
        </a:p>
        <a:p>
          <a:r>
            <a:rPr lang="en-US" sz="1100"/>
            <a:t>  ,sum(f.activity_minutes)/60 as notrdy</a:t>
          </a:r>
        </a:p>
        <a:p>
          <a:r>
            <a:rPr lang="en-US" sz="1100"/>
            <a:t>  from cc_f_agent_activity_by_date_sv f</a:t>
          </a:r>
        </a:p>
        <a:p>
          <a:r>
            <a:rPr lang="en-US" sz="1100"/>
            <a:t>  join cc_d_dates_sv d </a:t>
          </a:r>
        </a:p>
        <a:p>
          <a:r>
            <a:rPr lang="en-US" sz="1100"/>
            <a:t>    on f.d_date_id = d.d_date_id</a:t>
          </a:r>
        </a:p>
        <a:p>
          <a:r>
            <a:rPr lang="en-US" sz="1100"/>
            <a:t>  join CC_D_ACTIVITY_TYPE_SV at</a:t>
          </a:r>
        </a:p>
        <a:p>
          <a:r>
            <a:rPr lang="en-US" sz="1100"/>
            <a:t>    on f.d_activity_type_id = at.d_activity_type_id</a:t>
          </a:r>
        </a:p>
        <a:p>
          <a:r>
            <a:rPr lang="en-US" sz="1100"/>
            <a:t>  where d_date between '01-Oct-2016'  and '31-Oct-2016' </a:t>
          </a:r>
        </a:p>
        <a:p>
          <a:r>
            <a:rPr lang="en-US" sz="1100"/>
            <a:t>  group by f.d_date_id, d_agent_id) am</a:t>
          </a:r>
        </a:p>
        <a:p>
          <a:r>
            <a:rPr lang="en-US" sz="1100"/>
            <a:t>    on f.d_agent_id = am.d_agent_id</a:t>
          </a:r>
        </a:p>
        <a:p>
          <a:r>
            <a:rPr lang="en-US" sz="1100"/>
            <a:t>    and f.d_date_id = am.d_date_id</a:t>
          </a:r>
        </a:p>
        <a:p>
          <a:r>
            <a:rPr lang="en-US" sz="1100"/>
            <a:t>where d_date between '01-Oct-2016'  and '31-Oct-2016' </a:t>
          </a:r>
        </a:p>
        <a:p>
          <a:r>
            <a:rPr lang="en-US" sz="1100"/>
            <a:t>and PROJECT_NAME = 'CA HCO'</a:t>
          </a:r>
        </a:p>
        <a:p>
          <a:r>
            <a:rPr lang="en-US" sz="1100"/>
            <a:t>group by '1.0'; </a:t>
          </a:r>
        </a:p>
        <a:p>
          <a:endParaRPr lang="en-US" sz="1100"/>
        </a:p>
        <a:p>
          <a:endParaRPr lang="en-US" sz="1100"/>
        </a:p>
        <a:p>
          <a:endParaRPr lang="en-US" sz="1100"/>
        </a:p>
        <a:p>
          <a:endParaRPr lang="en-US" sz="1100"/>
        </a:p>
        <a:p>
          <a:r>
            <a:rPr lang="en-US" sz="1100"/>
            <a:t>--1.1 </a:t>
          </a:r>
        </a:p>
        <a:p>
          <a:r>
            <a:rPr lang="en-US" sz="1100"/>
            <a:t>with  t1 as (</a:t>
          </a:r>
        </a:p>
        <a:p>
          <a:r>
            <a:rPr lang="en-US" sz="1100"/>
            <a:t>select program_name</a:t>
          </a:r>
        </a:p>
        <a:p>
          <a:r>
            <a:rPr lang="en-US" sz="1100"/>
            <a:t>      ,coalesce(sum(f.scheduled_shift_minutes)/60,0) as "Sched Agent Time" </a:t>
          </a:r>
        </a:p>
        <a:p>
          <a:r>
            <a:rPr lang="en-US" sz="1100"/>
            <a:t>      ,coalesce(sum(f.actual_shift_minutes)*60,0) as "Act Agent Time"</a:t>
          </a:r>
        </a:p>
        <a:p>
          <a:r>
            <a:rPr lang="en-US" sz="1100"/>
            <a:t>      ,sum(f.login_seconds) as "Total Logged in Time"</a:t>
          </a:r>
        </a:p>
        <a:p>
          <a:r>
            <a:rPr lang="en-US" sz="1100"/>
            <a:t>      ,(sum(f.talk_seconds)+sum(f.hold_seconds)+sum(f.wrap_seconds)+sum(f.external_seconds)+sum(f.internal_seconds)+sum(f.preview_talk_seconds)+</a:t>
          </a:r>
        </a:p>
        <a:p>
          <a:r>
            <a:rPr lang="en-US" sz="1100"/>
            <a:t>                 sum(f.predictive_talk_seconds)+sum(f.talk_reserve_seconds)+sum(f.ring_seconds)+sum(f.idle_seconds)) as "Total Ready Time"</a:t>
          </a:r>
        </a:p>
        <a:p>
          <a:r>
            <a:rPr lang="en-US" sz="1100"/>
            <a:t>      ,sum(f.Not_Ready_Seconds) as Not_Ready_Seconds</a:t>
          </a:r>
        </a:p>
        <a:p>
          <a:r>
            <a:rPr lang="en-US" sz="1100"/>
            <a:t>      ,sum(f.talk_seconds) as TalkTime</a:t>
          </a:r>
        </a:p>
        <a:p>
          <a:r>
            <a:rPr lang="en-US" sz="1100"/>
            <a:t>      ,sum(f.hold_seconds) as HoldTime</a:t>
          </a:r>
        </a:p>
        <a:p>
          <a:r>
            <a:rPr lang="en-US" sz="1100"/>
            <a:t>      ,sum(f.wrap_seconds) as WrapTime</a:t>
          </a:r>
        </a:p>
        <a:p>
          <a:r>
            <a:rPr lang="en-US" sz="1100"/>
            <a:t>      ,sum(f.external_seconds) as ExternalTime</a:t>
          </a:r>
        </a:p>
        <a:p>
          <a:r>
            <a:rPr lang="en-US" sz="1100"/>
            <a:t>      ,sum(f.internal_seconds) as InternalTime</a:t>
          </a:r>
        </a:p>
        <a:p>
          <a:r>
            <a:rPr lang="en-US" sz="1100"/>
            <a:t>      ,sum(f.preview_talk_seconds+f.predictive_talk_seconds+f.talk_reserve_seconds) as OtherTime</a:t>
          </a:r>
        </a:p>
        <a:p>
          <a:r>
            <a:rPr lang="en-US" sz="1100"/>
            <a:t>      ,sum(f.ring_seconds) as RingTime</a:t>
          </a:r>
        </a:p>
        <a:p>
          <a:r>
            <a:rPr lang="en-US" sz="1100"/>
            <a:t>      ,sum(f.idle_seconds) as IdleTime</a:t>
          </a:r>
        </a:p>
        <a:p>
          <a:r>
            <a:rPr lang="en-US" sz="1100"/>
            <a:t>      ,sum(f.talk_seconds+f.hold_seconds+f.wrap_seconds+f.idle_seconds) as util_time</a:t>
          </a:r>
        </a:p>
        <a:p>
          <a:r>
            <a:rPr lang="en-US" sz="1100"/>
            <a:t>      ,sum(f.talk_seconds+f.hold_seconds+f.wrap_seconds) as occp_time      </a:t>
          </a:r>
        </a:p>
        <a:p>
          <a:r>
            <a:rPr lang="en-US" sz="1100"/>
            <a:t>      ,sum(f.login_seconds) as login_time</a:t>
          </a:r>
        </a:p>
        <a:p>
          <a:r>
            <a:rPr lang="en-US" sz="1100"/>
            <a:t>      ,sum(f.handle_calls_count) as handled</a:t>
          </a:r>
        </a:p>
        <a:p>
          <a:r>
            <a:rPr lang="en-US" sz="1100"/>
            <a:t>      ,sum(f.handle_time_seconds) as handle_time</a:t>
          </a:r>
        </a:p>
        <a:p>
          <a:r>
            <a:rPr lang="en-US" sz="1100"/>
            <a:t>      ,sum(f.talk_seconds+f.hold_seconds+f.wrap_seconds+f.idle_seconds) as occp_denom         </a:t>
          </a:r>
        </a:p>
        <a:p>
          <a:r>
            <a:rPr lang="en-US" sz="1100"/>
            <a:t>from  cc_f_agent_by_date f</a:t>
          </a:r>
        </a:p>
        <a:p>
          <a:r>
            <a:rPr lang="en-US" sz="1100"/>
            <a:t>inner join cc_d_dates d on f.d_date_id = d.d_date_id</a:t>
          </a:r>
        </a:p>
        <a:p>
          <a:r>
            <a:rPr lang="en-US" sz="1100"/>
            <a:t>inner join cc_d_agent a on f.d_agent_id = a.d_agent_id</a:t>
          </a:r>
        </a:p>
        <a:p>
          <a:r>
            <a:rPr lang="en-US" sz="1100"/>
            <a:t>inner join cc_d_program p on f.d_program_id = p.program_id</a:t>
          </a:r>
        </a:p>
        <a:p>
          <a:r>
            <a:rPr lang="en-US" sz="1100"/>
            <a:t>inner join cc_d_project_targets pj on f.d_project_targets_id = pj.d_project_targets_id</a:t>
          </a:r>
        </a:p>
        <a:p>
          <a:r>
            <a:rPr lang="en-US" sz="1100"/>
            <a:t>inner join cc_d_project j on pj.project_id = j.project_id and j.PROJECT_NAME = 'CA HCO'</a:t>
          </a:r>
        </a:p>
        <a:p>
          <a:r>
            <a:rPr lang="en-US" sz="1100"/>
            <a:t>inner join cc_d_site s on f.d_site_id = s.d_site_id</a:t>
          </a:r>
        </a:p>
        <a:p>
          <a:r>
            <a:rPr lang="en-US" sz="1100"/>
            <a:t>where d_date between '01-Oct-2016'  and '31-Oct-2016' </a:t>
          </a:r>
        </a:p>
        <a:p>
          <a:r>
            <a:rPr lang="en-US" sz="1100"/>
            <a:t>and   j.project_name = 'CA HCO'</a:t>
          </a:r>
        </a:p>
        <a:p>
          <a:r>
            <a:rPr lang="en-US" sz="1100"/>
            <a:t>group by program_name),</a:t>
          </a:r>
        </a:p>
        <a:p>
          <a:endParaRPr lang="en-US" sz="1100"/>
        </a:p>
        <a:p>
          <a:r>
            <a:rPr lang="en-US" sz="1100"/>
            <a:t>t2 as (</a:t>
          </a:r>
        </a:p>
        <a:p>
          <a:r>
            <a:rPr lang="en-US" sz="1100"/>
            <a:t>select program_name</a:t>
          </a:r>
        </a:p>
        <a:p>
          <a:r>
            <a:rPr lang="en-US" sz="1100"/>
            <a:t>      ,sum(case when ac.activity_type_category in ('Scheduled PTO') then f2.activity_minutes else 0 end)*60 as "Sched PTO" </a:t>
          </a:r>
        </a:p>
        <a:p>
          <a:r>
            <a:rPr lang="en-US" sz="1100"/>
            <a:t>      ,sum(case when ac.activity_type_category in ('Unscheduled PTO') then f2.activity_minutes else 0 end)*60 as "Unsched PTO" </a:t>
          </a:r>
        </a:p>
        <a:p>
          <a:r>
            <a:rPr lang="en-US" sz="1100"/>
            <a:t>      ,sum(case when ac.activity_type_category in ('Lunch and Break', 'Meeting', 'Training','Other Not Ready') then f2.activity_minutes else 0 end)*60 as "Total Not Ready Time" </a:t>
          </a:r>
        </a:p>
        <a:p>
          <a:r>
            <a:rPr lang="en-US" sz="1100"/>
            <a:t>      ,sum(case when ac.activity_type_category = 'Training' then f2.activity_minutes else 0 end)*60 as "Training Time"</a:t>
          </a:r>
        </a:p>
        <a:p>
          <a:r>
            <a:rPr lang="en-US" sz="1100"/>
            <a:t>      ,sum(case when ac.activity_type_category = 'Meeting' then f2.activity_minutes else 0 end)*60 as "Meeting Time"</a:t>
          </a:r>
        </a:p>
        <a:p>
          <a:r>
            <a:rPr lang="en-US" sz="1100"/>
            <a:t>      ,sum(case when ac.activity_type_name = 'Lunch' then f2.activity_minutes else 0 end)*60 as "Lunch"  </a:t>
          </a:r>
        </a:p>
        <a:p>
          <a:r>
            <a:rPr lang="en-US" sz="1100"/>
            <a:t>      ,sum(case when UPPER(ac.activity_type_name) like '%BREAK%' then f2.activity_minutes else 0 end)*60 as "Break"  </a:t>
          </a:r>
        </a:p>
        <a:p>
          <a:r>
            <a:rPr lang="en-US" sz="1100"/>
            <a:t>      ,sum(case when ac.activity_type_category = 'Lunch and Break' then f2.activity_minutes else 0 end)*60 as "Lunch and Break Time"            </a:t>
          </a:r>
        </a:p>
        <a:p>
          <a:r>
            <a:rPr lang="en-US" sz="1100"/>
            <a:t>      ,sum(case when ac.activity_type_category = 'Other Not Ready' then f2.activity_minutes else 0 end)*60 as Other</a:t>
          </a:r>
        </a:p>
        <a:p>
          <a:r>
            <a:rPr lang="en-US" sz="1100"/>
            <a:t>      ,sum(f2.activity_minutes)*60 as "Not Ready Subtotal" </a:t>
          </a:r>
        </a:p>
        <a:p>
          <a:r>
            <a:rPr lang="en-US" sz="1100"/>
            <a:t>      ,sum(case when ac.is_paid_flag = 1 then f2.activity_minutes else 0 end)*60 as total_pd_time</a:t>
          </a:r>
        </a:p>
        <a:p>
          <a:r>
            <a:rPr lang="en-US" sz="1100"/>
            <a:t>      ,sum(case when ac.activity_type_category in ('Lunch and Break', 'Meeting', 'Training','Other Not Ready') then f2.activity_minutes * 60 else 0 end) as TNRT</a:t>
          </a:r>
        </a:p>
        <a:p>
          <a:r>
            <a:rPr lang="en-US" sz="1100"/>
            <a:t>from   cc_f_agent_activity_by_date f2</a:t>
          </a:r>
        </a:p>
        <a:p>
          <a:r>
            <a:rPr lang="en-US" sz="1100"/>
            <a:t>inner join cc_d_dates d on f2.d_date_id = d.d_date_id</a:t>
          </a:r>
        </a:p>
        <a:p>
          <a:r>
            <a:rPr lang="en-US" sz="1100"/>
            <a:t>inner join cc_d_activity_type ac on f2.d_activity_type_id = ac.d_activity_type_id</a:t>
          </a:r>
        </a:p>
        <a:p>
          <a:r>
            <a:rPr lang="en-US" sz="1100"/>
            <a:t>inner join cc_d_program p on f2.d_program_id = p.program_id</a:t>
          </a:r>
        </a:p>
        <a:p>
          <a:r>
            <a:rPr lang="en-US" sz="1100"/>
            <a:t>inner join cc_d_project j on f2.d_project_id = j.project_id</a:t>
          </a:r>
        </a:p>
        <a:p>
          <a:r>
            <a:rPr lang="en-US" sz="1100"/>
            <a:t>inner join cc_d_site s on f2.d_site_id = s.d_site_id</a:t>
          </a:r>
        </a:p>
        <a:p>
          <a:r>
            <a:rPr lang="en-US" sz="1100"/>
            <a:t>where d_date between '01-Oct-2016'  and '31-Oct-2016' </a:t>
          </a:r>
        </a:p>
        <a:p>
          <a:r>
            <a:rPr lang="en-US" sz="1100"/>
            <a:t>and   j.project_name = 'CA HCO'</a:t>
          </a:r>
        </a:p>
        <a:p>
          <a:r>
            <a:rPr lang="en-US" sz="1100"/>
            <a:t>group by program_name)</a:t>
          </a:r>
        </a:p>
        <a:p>
          <a:endParaRPr lang="en-US" sz="1100"/>
        </a:p>
        <a:p>
          <a:r>
            <a:rPr lang="en-US" sz="1100"/>
            <a:t>select '1.1' as Dashboard</a:t>
          </a:r>
        </a:p>
        <a:p>
          <a:r>
            <a:rPr lang="en-US" sz="1100"/>
            <a:t>       --,t1."Sched Agent Time"</a:t>
          </a:r>
        </a:p>
        <a:p>
          <a:r>
            <a:rPr lang="en-US" sz="1100"/>
            <a:t>       ,Trunc(t1."Act Agent Time" / 3600) || ':' || Trunc(Mod(t1."Act Agent Time", 3600) / 60)  || ':' || Round(Mod(t1."Act Agent Time", 60),0) as "Act Agent Time"</a:t>
          </a:r>
        </a:p>
        <a:p>
          <a:r>
            <a:rPr lang="en-US" sz="1100"/>
            <a:t>       --,t2."Sched PTO"</a:t>
          </a:r>
        </a:p>
        <a:p>
          <a:r>
            <a:rPr lang="en-US" sz="1100"/>
            <a:t>       --,t2."Unsched PTO"</a:t>
          </a:r>
        </a:p>
        <a:p>
          <a:r>
            <a:rPr lang="en-US" sz="1100"/>
            <a:t>       ,Trunc(t1."Total Logged in Time" / 3600) || ':' || Trunc(Mod(t1."Total Logged in Time", 3600) / 60)  || ':' || Round(Mod(t1."Total Logged in Time", 60),0) as "Total Logged in Time"</a:t>
          </a:r>
        </a:p>
        <a:p>
          <a:r>
            <a:rPr lang="en-US" sz="1100"/>
            <a:t>       ,Trunc(t1."Total Ready Time" / 3600) || ':' || Trunc(Mod(t1."Total Ready Time", 3600) / 60)  || ':' || Round(Mod(t1."Total Ready Time", 60),0) as "Total Ready Time"</a:t>
          </a:r>
        </a:p>
        <a:p>
          <a:r>
            <a:rPr lang="en-US" sz="1100"/>
            <a:t>       ,Trunc(t1.Not_Ready_Seconds / 3600) || ':' || Trunc(Mod(t1.Not_Ready_Seconds, 3600) / 60)  || ':' || Round(Mod(t1.Not_Ready_Seconds, 60),0) as "Total Not Ready Time"</a:t>
          </a:r>
        </a:p>
        <a:p>
          <a:r>
            <a:rPr lang="en-US" sz="1100"/>
            <a:t>       ,Trunc((t1."Total Ready Time" + t1.Not_Ready_Seconds) / 3600) || ':' || Trunc(Mod((t1."Total Ready Time" + t1.Not_Ready_Seconds), 3600) / 60)  || ':' || Round(Mod((t1."Total Ready Time" + t1.Not_Ready_Seconds), 60),0) as "Calculated Logged in Time"</a:t>
          </a:r>
        </a:p>
        <a:p>
          <a:r>
            <a:rPr lang="en-US" sz="1100"/>
            <a:t>       ,Trunc((t1."Total Logged in Time" - t1."Total Ready Time" - t1.Not_Ready_Seconds) / 3600) || ':' || Trunc(Mod((t1."Total Logged in Time" - t1."Total Ready Time" - t1.Not_Ready_Seconds), 3600) / 60)  || ':' || Round(Mod((t1."Total Logged in Time" - t1."Total Ready Time" - t1.Not_Ready_Seconds), 60),0) as "Logged in Time Error"       </a:t>
          </a:r>
        </a:p>
        <a:p>
          <a:r>
            <a:rPr lang="en-US" sz="1100"/>
            <a:t>       ,Trunc(t1.TalkTime / 3600) || ':' || Trunc(Mod(t1.TalkTime, 3600) / 60)  || ':' || Round(Mod(t1.TalkTime, 60),0) as TalkTime</a:t>
          </a:r>
        </a:p>
        <a:p>
          <a:r>
            <a:rPr lang="en-US" sz="1100"/>
            <a:t>       ,Trunc(t1.HoldTime / 3600) || ':' || Trunc(Mod(t1.HoldTime, 3600) / 60)  || ':' || Round(Mod(t1.HoldTime, 60),0) as HoldTime</a:t>
          </a:r>
        </a:p>
        <a:p>
          <a:r>
            <a:rPr lang="en-US" sz="1100"/>
            <a:t>       ,Trunc(t1.WrapTime / 3600) || ':' || Trunc(Mod(t1.WrapTime, 3600) / 60)  || ':' || Round(Mod(t1.WrapTime, 60),0) as WrapTime</a:t>
          </a:r>
        </a:p>
        <a:p>
          <a:r>
            <a:rPr lang="en-US" sz="1100"/>
            <a:t>       ,Trunc(t1.ExternalTime / 3600) || ':' || Trunc(Mod(t1.ExternalTime, 3600) / 60)  || ':' || Round(Mod(t1.ExternalTime, 60),0) as ExternalTime</a:t>
          </a:r>
        </a:p>
        <a:p>
          <a:r>
            <a:rPr lang="en-US" sz="1100"/>
            <a:t>       ,Trunc(t1.InternalTime / 3600) || ':' || Trunc(Mod(t1.InternalTime, 3600) / 60)  || ':' || Round(Mod(t1.InternalTime, 60),0) as InternalTime</a:t>
          </a:r>
        </a:p>
        <a:p>
          <a:r>
            <a:rPr lang="en-US" sz="1100"/>
            <a:t>       ,Trunc(t1.OtherTime / 3600) || ':' || Trunc(Mod(t1.OtherTime, 3600) / 60)  || ':' || Round(Mod(t1.OtherTime, 60),0) as OtherTime</a:t>
          </a:r>
        </a:p>
        <a:p>
          <a:r>
            <a:rPr lang="en-US" sz="1100"/>
            <a:t>       ,Trunc(t1.RingTime / 3600) || ':' || Trunc(Mod(t1.RingTime, 3600) / 60)  || ':' || Round(Mod(t1.RingTime, 60),0) as RingTime</a:t>
          </a:r>
        </a:p>
        <a:p>
          <a:r>
            <a:rPr lang="en-US" sz="1100"/>
            <a:t>       ,Trunc(t1.IdleTime / 3600) || ':' || Trunc(Mod(t1.IdleTime, 3600) / 60)  || ':' || Round(Mod(t1.IdleTime, 60),0) as IdleTime</a:t>
          </a:r>
        </a:p>
        <a:p>
          <a:r>
            <a:rPr lang="en-US" sz="1100"/>
            <a:t>       ,Trunc(t1."Total Ready Time" / 3600) || ':' || Trunc(Mod(t1."Total Ready Time", 3600) / 60)  || ':' || Round(Mod(t1."Total Ready Time", 60),0) as "Ready Subtotal"</a:t>
          </a:r>
        </a:p>
        <a:p>
          <a:r>
            <a:rPr lang="en-US" sz="1100"/>
            <a:t>       ,Trunc(t2."Training Time" / 3600) || ':' || Trunc(Mod(t2."Training Time", 3600) / 60)  || ':' || Round(Mod(t2."Training Time", 60),0) as "Training Time"</a:t>
          </a:r>
        </a:p>
        <a:p>
          <a:r>
            <a:rPr lang="en-US" sz="1100"/>
            <a:t>       ,Trunc(t2."Meeting Time" / 3600) || ':' || Trunc(Mod(t2."Meeting Time", 3600) / 60)  || ':' || Round(Mod(t2."Meeting Time", 60),0) as "Meeting Time"</a:t>
          </a:r>
        </a:p>
        <a:p>
          <a:r>
            <a:rPr lang="en-US" sz="1100"/>
            <a:t>       ,Trunc(t2."Lunch" / 3600) || ':' || Trunc(Mod(t2."Lunch", 3600) / 60)  || ':' || Round(Mod(t2."Lunch", 60),0) as "Lunch"</a:t>
          </a:r>
        </a:p>
        <a:p>
          <a:r>
            <a:rPr lang="en-US" sz="1100"/>
            <a:t>       ,Trunc(t2."Break" / 3600) || ':' || Trunc(Mod(t2."Break", 3600) / 60)  || ':' || Round(Mod(t2."Break", 60),0) as "Break"</a:t>
          </a:r>
        </a:p>
        <a:p>
          <a:r>
            <a:rPr lang="en-US" sz="1100"/>
            <a:t>       </a:t>
          </a:r>
        </a:p>
        <a:p>
          <a:r>
            <a:rPr lang="en-US" sz="1100"/>
            <a:t>       --,t2.Other</a:t>
          </a:r>
        </a:p>
        <a:p>
          <a:r>
            <a:rPr lang="en-US" sz="1100"/>
            <a:t>       ,Trunc(t2."Not Ready Subtotal" / 3600) || ':' || Trunc(Mod(t2."Not Ready Subtotal", 3600) / 60)  || ':' || Round(Mod(t2."Not Ready Subtotal", 60),0) as "Not Ready Subtotal"</a:t>
          </a:r>
        </a:p>
        <a:p>
          <a:r>
            <a:rPr lang="en-US" sz="1100"/>
            <a:t>       ,t1.handled as "Total Calls Handled"</a:t>
          </a:r>
        </a:p>
        <a:p>
          <a:r>
            <a:rPr lang="en-US" sz="1100"/>
            <a:t>       ,round(("Total Ready Time" / t1.login_time)*100,2) as "Total Ready (%)"</a:t>
          </a:r>
        </a:p>
        <a:p>
          <a:r>
            <a:rPr lang="en-US" sz="1100"/>
            <a:t>       ,round(((t1.Not_Ready_Seconds) / t1.login_time)*100,2) as "Total Not Ready (%)"</a:t>
          </a:r>
        </a:p>
        <a:p>
          <a:r>
            <a:rPr lang="en-US" sz="1100"/>
            <a:t>       --,round((t1.util_time / t2.total_pd_time)*100,2) as "Total Utilization (%)"</a:t>
          </a:r>
        </a:p>
        <a:p>
          <a:r>
            <a:rPr lang="en-US" sz="1100"/>
            <a:t>       ,round((t1.occp_time / t1.occp_denom)*100,2) as "Occupancy (%)"</a:t>
          </a:r>
        </a:p>
        <a:p>
          <a:r>
            <a:rPr lang="en-US" sz="1100"/>
            <a:t>from t1, t2</a:t>
          </a:r>
        </a:p>
        <a:p>
          <a:r>
            <a:rPr lang="en-US" sz="1100"/>
            <a:t>where t1.program_name = t2.program_name; </a:t>
          </a:r>
        </a:p>
        <a:p>
          <a:endParaRPr lang="en-US" sz="1100"/>
        </a:p>
        <a:p>
          <a:endParaRPr lang="en-US" sz="1100"/>
        </a:p>
        <a:p>
          <a:endParaRPr lang="en-US" sz="1100"/>
        </a:p>
        <a:p>
          <a:endParaRPr lang="en-US" sz="1100"/>
        </a:p>
        <a:p>
          <a:r>
            <a:rPr lang="en-US" sz="1100"/>
            <a:t>--2.0</a:t>
          </a:r>
        </a:p>
        <a:p>
          <a:r>
            <a:rPr lang="en-US" sz="1100"/>
            <a:t>with  t1 as (</a:t>
          </a:r>
        </a:p>
        <a:p>
          <a:r>
            <a:rPr lang="en-US" sz="1100"/>
            <a:t>select p.program_name</a:t>
          </a:r>
        </a:p>
        <a:p>
          <a:r>
            <a:rPr lang="en-US" sz="1100"/>
            <a:t>      ,((sum(f.talk_seconds+f.hold_seconds+f.wrap_seconds)) / (sum(f.talk_seconds+f.hold_seconds+f.wrap_seconds+f.idle_seconds)))*100 as "Occupancy (%)"</a:t>
          </a:r>
        </a:p>
        <a:p>
          <a:r>
            <a:rPr lang="en-US" sz="1100"/>
            <a:t>      ,sum(f.login_seconds) as login_time</a:t>
          </a:r>
        </a:p>
        <a:p>
          <a:r>
            <a:rPr lang="en-US" sz="1100"/>
            <a:t>      </a:t>
          </a:r>
        </a:p>
        <a:p>
          <a:r>
            <a:rPr lang="en-US" sz="1100"/>
            <a:t>      --,sum(f.talk_seconds+f.hold_seconds+f.wrap_seconds+f.external_seconds+f.internal_seconds+f.preview_talk_seconds+</a:t>
          </a:r>
        </a:p>
        <a:p>
          <a:r>
            <a:rPr lang="en-US" sz="1100"/>
            <a:t>        --         f.predictive_talk_seconds+f.talk_reserve_seconds+f.ring_seconds+f.idle_seconds) as "Total Ready Time"</a:t>
          </a:r>
        </a:p>
        <a:p>
          <a:r>
            <a:rPr lang="en-US" sz="1100"/>
            <a:t>      ,sum(f.talk_seconds) + sum(f.hold_seconds) + sum(f.wrap_seconds) + sum(f.external_seconds) + sum(f.internal_seconds) + sum(f.ring_seconds) + sum(f.idle_seconds)</a:t>
          </a:r>
        </a:p>
        <a:p>
          <a:r>
            <a:rPr lang="en-US" sz="1100"/>
            <a:t>      + sum(f.preview_talk_seconds) + sum(f.predictive_talk_seconds) + sum(f.talk_reserve_seconds) as "Total Ready Time"</a:t>
          </a:r>
        </a:p>
        <a:p>
          <a:r>
            <a:rPr lang="en-US" sz="1100"/>
            <a:t>                 </a:t>
          </a:r>
        </a:p>
        <a:p>
          <a:r>
            <a:rPr lang="en-US" sz="1100"/>
            <a:t>      ,sum(f.Not_Ready_Seconds) as Not_Ready_Seconds</a:t>
          </a:r>
        </a:p>
        <a:p>
          <a:r>
            <a:rPr lang="en-US" sz="1100"/>
            <a:t>      ,sum(f.talk_seconds+f.hold_seconds+f.wrap_seconds+f.idle_seconds) as util_time</a:t>
          </a:r>
        </a:p>
        <a:p>
          <a:r>
            <a:rPr lang="en-US" sz="1100"/>
            <a:t>      </a:t>
          </a:r>
        </a:p>
        <a:p>
          <a:r>
            <a:rPr lang="en-US" sz="1100"/>
            <a:t>      ,(sum(f.talk_seconds)) as  talk </a:t>
          </a:r>
        </a:p>
        <a:p>
          <a:r>
            <a:rPr lang="en-US" sz="1100"/>
            <a:t>      ,(sum(f.hold_seconds)) as  hold</a:t>
          </a:r>
        </a:p>
        <a:p>
          <a:r>
            <a:rPr lang="en-US" sz="1100"/>
            <a:t>      ,(sum(f.wrap_seconds)) as wrap  </a:t>
          </a:r>
        </a:p>
        <a:p>
          <a:r>
            <a:rPr lang="en-US" sz="1100"/>
            <a:t>      ,(sum(f.external_seconds)) as extern</a:t>
          </a:r>
        </a:p>
        <a:p>
          <a:r>
            <a:rPr lang="en-US" sz="1100"/>
            <a:t>      ,(sum(f.internal_seconds)) as intern </a:t>
          </a:r>
        </a:p>
        <a:p>
          <a:r>
            <a:rPr lang="en-US" sz="1100"/>
            <a:t>      ,(sum(f.preview_talk_seconds+f.predictive_talk_seconds+f.talk_reserve_seconds)) as other</a:t>
          </a:r>
        </a:p>
        <a:p>
          <a:r>
            <a:rPr lang="en-US" sz="1100"/>
            <a:t>      ,(sum(f.ring_seconds)) as ring  </a:t>
          </a:r>
        </a:p>
        <a:p>
          <a:r>
            <a:rPr lang="en-US" sz="1100"/>
            <a:t>      ,(sum(f.idle_seconds)) as idlet</a:t>
          </a:r>
        </a:p>
        <a:p>
          <a:r>
            <a:rPr lang="en-US" sz="1100"/>
            <a:t>      </a:t>
          </a:r>
        </a:p>
        <a:p>
          <a:r>
            <a:rPr lang="en-US" sz="1100"/>
            <a:t>      ,(sum(f.talk_seconds+f.hold_seconds+f.wrap_seconds+f.external_seconds+f.internal_seconds+f.ring_seconds+f.idle_seconds)) as ready_sub</a:t>
          </a:r>
        </a:p>
        <a:p>
          <a:r>
            <a:rPr lang="en-US" sz="1100"/>
            <a:t>      ,sum(f.handle_calls_count) as handled</a:t>
          </a:r>
        </a:p>
        <a:p>
          <a:r>
            <a:rPr lang="en-US" sz="1100"/>
            <a:t>      ,sum(f.scheduled_shift_minutes) as "Scheduled Agent Time" </a:t>
          </a:r>
        </a:p>
        <a:p>
          <a:r>
            <a:rPr lang="en-US" sz="1100"/>
            <a:t>      ,sum(f.actual_shift_minutes) as "Actual Agent Time"</a:t>
          </a:r>
        </a:p>
        <a:p>
          <a:r>
            <a:rPr lang="en-US" sz="1100"/>
            <a:t>      ,sum(f.actual_shift_minutes) as actual_shift_minutes</a:t>
          </a:r>
        </a:p>
        <a:p>
          <a:r>
            <a:rPr lang="en-US" sz="1100"/>
            <a:t>      ,round(coalesce(sum(f.scheduled_shift_minutes)/60,0) - coalesce(sum(f.actual_shift_minutes)/60,0),2) as "Variance"</a:t>
          </a:r>
        </a:p>
        <a:p>
          <a:r>
            <a:rPr lang="en-US" sz="1100"/>
            <a:t>      ,round(sum(f.login_seconds)/60,2) as login_time_two</a:t>
          </a:r>
        </a:p>
        <a:p>
          <a:r>
            <a:rPr lang="en-US" sz="1100"/>
            <a:t>      ,round((sum(f.talk_seconds+f.hold_seconds+f.wrap_seconds+f.external_seconds+f.internal_seconds+f.preview_talk_seconds+</a:t>
          </a:r>
        </a:p>
        <a:p>
          <a:r>
            <a:rPr lang="en-US" sz="1100"/>
            <a:t>                 f.predictive_talk_seconds+f.talk_reserve_seconds+f.ring_seconds+f.idle_seconds)/60),2) as ready_time</a:t>
          </a:r>
        </a:p>
        <a:p>
          <a:r>
            <a:rPr lang="en-US" sz="1100"/>
            <a:t>      ,sum(handle_calls_count) as Calls_Handled</a:t>
          </a:r>
        </a:p>
        <a:p>
          <a:r>
            <a:rPr lang="en-US" sz="1100"/>
            <a:t>from  cc_f_agent_by_date f</a:t>
          </a:r>
        </a:p>
        <a:p>
          <a:r>
            <a:rPr lang="en-US" sz="1100"/>
            <a:t>inner join cc_d_dates d on f.d_date_id = d.d_date_id</a:t>
          </a:r>
        </a:p>
        <a:p>
          <a:r>
            <a:rPr lang="en-US" sz="1100"/>
            <a:t>inner join cc_d_agent a on f.d_agent_id = a.d_agent_id</a:t>
          </a:r>
        </a:p>
        <a:p>
          <a:r>
            <a:rPr lang="en-US" sz="1100"/>
            <a:t>inner join cc_d_program p on f.d_program_id = p.program_id</a:t>
          </a:r>
        </a:p>
        <a:p>
          <a:r>
            <a:rPr lang="en-US" sz="1100"/>
            <a:t>inner join cc_d_project_targets pj on f.d_project_targets_id = pj.d_project_targets_id</a:t>
          </a:r>
        </a:p>
        <a:p>
          <a:r>
            <a:rPr lang="en-US" sz="1100"/>
            <a:t>inner join cc_d_project j on pj.project_id = j.project_id</a:t>
          </a:r>
        </a:p>
        <a:p>
          <a:r>
            <a:rPr lang="en-US" sz="1100"/>
            <a:t>inner join cc_d_site s on f.d_site_id = s.d_site_id</a:t>
          </a:r>
        </a:p>
        <a:p>
          <a:r>
            <a:rPr lang="en-US" sz="1100"/>
            <a:t>where d_date between '01-Oct-2016'  and '31-Oct-2016' </a:t>
          </a:r>
        </a:p>
        <a:p>
          <a:r>
            <a:rPr lang="en-US" sz="1100"/>
            <a:t>and j.PROJECT_NAME = 'CA HCO'</a:t>
          </a:r>
        </a:p>
        <a:p>
          <a:r>
            <a:rPr lang="en-US" sz="1100"/>
            <a:t>group by p.program_name), </a:t>
          </a:r>
        </a:p>
        <a:p>
          <a:endParaRPr lang="en-US" sz="1100"/>
        </a:p>
        <a:p>
          <a:r>
            <a:rPr lang="en-US" sz="1100"/>
            <a:t>t2 as (</a:t>
          </a:r>
        </a:p>
        <a:p>
          <a:r>
            <a:rPr lang="en-US" sz="1100"/>
            <a:t>select p.program_name</a:t>
          </a:r>
        </a:p>
        <a:p>
          <a:r>
            <a:rPr lang="en-US" sz="1100"/>
            <a:t>      ,sum(case when ac.activity_type_category in ('Lunch and Break', 'Meeting', 'Training','Other Not Ready') then f2.activity_minutes else 0 end) as "Total Not Ready Time" </a:t>
          </a:r>
        </a:p>
        <a:p>
          <a:r>
            <a:rPr lang="en-US" sz="1100"/>
            <a:t>      ,sum(case when ac.is_paid_flag = 1 then f2.activity_minutes else 0 end)*60 as total_pd_time </a:t>
          </a:r>
        </a:p>
        <a:p>
          <a:r>
            <a:rPr lang="en-US" sz="1100"/>
            <a:t>      ,sum(case when ac.activity_type_category = 'Training' then f2.activity_minutes else 0 end) as train</a:t>
          </a:r>
        </a:p>
        <a:p>
          <a:r>
            <a:rPr lang="en-US" sz="1100"/>
            <a:t>      ,sum(case when ac.activity_type_category = 'Meeting' then f2.activity_minutes else 0 end) as meeting</a:t>
          </a:r>
        </a:p>
        <a:p>
          <a:r>
            <a:rPr lang="en-US" sz="1100"/>
            <a:t>      --,sum(case when ac.activity_type_category = 'Lunch and Break' then f2.activity_minutes else 0 end) as lunch   </a:t>
          </a:r>
        </a:p>
        <a:p>
          <a:r>
            <a:rPr lang="en-US" sz="1100"/>
            <a:t>      </a:t>
          </a:r>
        </a:p>
        <a:p>
          <a:r>
            <a:rPr lang="en-US" sz="1100"/>
            <a:t>      ,sum(case when ac.activity_type_name = 'Lunch' then f2.activity_minutes else 0 end) as "Lunch"  </a:t>
          </a:r>
        </a:p>
        <a:p>
          <a:r>
            <a:rPr lang="en-US" sz="1100"/>
            <a:t>      ,sum(case when UPPER(ac.activity_type_name) like '%BREAK%' then f2.activity_minutes else 0 end) as "Break"  </a:t>
          </a:r>
        </a:p>
        <a:p>
          <a:r>
            <a:rPr lang="en-US" sz="1100"/>
            <a:t>      </a:t>
          </a:r>
        </a:p>
        <a:p>
          <a:r>
            <a:rPr lang="en-US" sz="1100"/>
            <a:t>      ,sum(case when ac.activity_type_category = 'Other Not Ready' then f2.activity_minutes else 0 end) as other</a:t>
          </a:r>
        </a:p>
        <a:p>
          <a:r>
            <a:rPr lang="en-US" sz="1100"/>
            <a:t>      ,sum(case when ac.activity_type_category = 'Unknown' then f2.activity_minutes else 0 end) as unknown</a:t>
          </a:r>
        </a:p>
        <a:p>
          <a:r>
            <a:rPr lang="en-US" sz="1100"/>
            <a:t>      ,sum(f2.activity_minutes) as notrdy</a:t>
          </a:r>
        </a:p>
        <a:p>
          <a:r>
            <a:rPr lang="en-US" sz="1100"/>
            <a:t>      ,round(sum(case when ac.activity_type_category in ('Lunch and Break', 'Meeting', 'Training','Other Not Ready') then f2.activity_minutes else 0 end),2) as not_rdy_time </a:t>
          </a:r>
        </a:p>
        <a:p>
          <a:r>
            <a:rPr lang="en-US" sz="1100"/>
            <a:t>from   cc_f_agent_activity_by_date f2</a:t>
          </a:r>
        </a:p>
        <a:p>
          <a:r>
            <a:rPr lang="en-US" sz="1100"/>
            <a:t>inner join cc_d_dates d on f2.d_date_id = d.d_date_id</a:t>
          </a:r>
        </a:p>
        <a:p>
          <a:r>
            <a:rPr lang="en-US" sz="1100"/>
            <a:t>inner join cc_d_activity_type ac on f2.d_activity_type_id = ac.d_activity_type_id</a:t>
          </a:r>
        </a:p>
        <a:p>
          <a:r>
            <a:rPr lang="en-US" sz="1100"/>
            <a:t>inner join cc_d_program p on f2.d_program_id = p.program_id</a:t>
          </a:r>
        </a:p>
        <a:p>
          <a:r>
            <a:rPr lang="en-US" sz="1100"/>
            <a:t>inner join cc_d_project j on f2.d_project_id = j.project_id</a:t>
          </a:r>
        </a:p>
        <a:p>
          <a:r>
            <a:rPr lang="en-US" sz="1100"/>
            <a:t>inner join cc_d_site s on f2.d_site_id = s.d_site_id</a:t>
          </a:r>
        </a:p>
        <a:p>
          <a:r>
            <a:rPr lang="en-US" sz="1100"/>
            <a:t>inner join cc_d_agent a on f2.d_agent_id = a.d_agent_id</a:t>
          </a:r>
        </a:p>
        <a:p>
          <a:r>
            <a:rPr lang="en-US" sz="1100"/>
            <a:t>where d_date between '01-Oct-2016'  and '31-Oct-2016' </a:t>
          </a:r>
        </a:p>
        <a:p>
          <a:r>
            <a:rPr lang="en-US" sz="1100"/>
            <a:t>and j.PROJECT_NAME = 'CA HCO'</a:t>
          </a:r>
        </a:p>
        <a:p>
          <a:r>
            <a:rPr lang="en-US" sz="1100"/>
            <a:t>group by p.program_name)</a:t>
          </a:r>
        </a:p>
        <a:p>
          <a:endParaRPr lang="en-US" sz="1100"/>
        </a:p>
        <a:p>
          <a:r>
            <a:rPr lang="en-US" sz="1100"/>
            <a:t>select '2.0' as Dashboard</a:t>
          </a:r>
        </a:p>
        <a:p>
          <a:r>
            <a:rPr lang="en-US" sz="1100"/>
            <a:t>      ,t1.program_name</a:t>
          </a:r>
        </a:p>
        <a:p>
          <a:r>
            <a:rPr lang="en-US" sz="1100"/>
            <a:t>      </a:t>
          </a:r>
        </a:p>
        <a:p>
          <a:r>
            <a:rPr lang="en-US" sz="1100"/>
            <a:t>      --Top of the Dashboard</a:t>
          </a:r>
        </a:p>
        <a:p>
          <a:r>
            <a:rPr lang="en-US" sz="1100"/>
            <a:t>      ,Trunc(t1."Scheduled Agent Time" / 60) || ':' || Trunc(Mod(t1."Scheduled Agent Time", 60))  || ':' || Trunc(Mod(t1."Scheduled Agent Time"*60, 60)) as "Scheduled Agent Time"</a:t>
          </a:r>
        </a:p>
        <a:p>
          <a:r>
            <a:rPr lang="en-US" sz="1100"/>
            <a:t>      ,Trunc(t1."Actual Agent Time" / 60) || ':' || Trunc(Mod(t1."Actual Agent Time", 60))  || ':' || Trunc(Mod(t1."Actual Agent Time"*60, 60)) as "Actual Agent Time"</a:t>
          </a:r>
        </a:p>
        <a:p>
          <a:r>
            <a:rPr lang="en-US" sz="1100"/>
            <a:t>      ,Trunc(t1.login_time / 3600) || ':' || Trunc(Mod(t1.login_time, 3600) / 60)  || ':' || Trunc(Mod(t1.login_time, 60)) as "Total Logged In Time"</a:t>
          </a:r>
        </a:p>
        <a:p>
          <a:r>
            <a:rPr lang="en-US" sz="1100"/>
            <a:t>      ,Trunc(t1."Total Ready Time" / 3600) || ':' || Trunc(Mod(t1."Total Ready Time", 3600) / 60)  || ':' || Trunc(Mod(t1."Total Ready Time", 60)) as "Total Ready Time"</a:t>
          </a:r>
        </a:p>
        <a:p>
          <a:r>
            <a:rPr lang="en-US" sz="1100"/>
            <a:t>      ,Trunc(t1.Not_Ready_Seconds / 3600) || ':' || Trunc(Mod(t1.Not_Ready_Seconds, 3600) / 60)  || ':' || Trunc(Mod(t1.Not_Ready_Seconds, 60)) as Not_Ready_Seconds</a:t>
          </a:r>
        </a:p>
        <a:p>
          <a:r>
            <a:rPr lang="en-US" sz="1100"/>
            <a:t>      </a:t>
          </a:r>
        </a:p>
        <a:p>
          <a:r>
            <a:rPr lang="en-US" sz="1100"/>
            <a:t>      --Ready Time Metrics</a:t>
          </a:r>
        </a:p>
        <a:p>
          <a:r>
            <a:rPr lang="en-US" sz="1100"/>
            <a:t>      ,Trunc(t1.talk / 3600) || ':' || Trunc(Mod(t1.talk, 3600) / 60)  || ':' || Round(Mod(t1.talk, 60),0) as "Talk Time"</a:t>
          </a:r>
        </a:p>
        <a:p>
          <a:r>
            <a:rPr lang="en-US" sz="1100"/>
            <a:t>      ,Trunc(t1.hold / 3600) || ':' || Trunc(Mod(t1.hold, 3600) / 60)  || ':' || Round(Mod(t1.hold, 60),0) as "Hold Time"</a:t>
          </a:r>
        </a:p>
        <a:p>
          <a:r>
            <a:rPr lang="en-US" sz="1100"/>
            <a:t>      ,Trunc(t1.wrap / 3600) || ':' || Trunc(Mod(t1.wrap, 3600) / 60)  || ':' || Round(Mod(t1.wrap, 60),0) as "Wrap Time"</a:t>
          </a:r>
        </a:p>
        <a:p>
          <a:r>
            <a:rPr lang="en-US" sz="1100"/>
            <a:t>      ,Trunc(t1.extern / 3600) || ':' || Trunc(Mod(t1.extern, 3600) / 60)  || ':' || Round(Mod(t1.extern, 60),0) as "External Talk Time" </a:t>
          </a:r>
        </a:p>
        <a:p>
          <a:r>
            <a:rPr lang="en-US" sz="1100"/>
            <a:t>      ,Trunc(t1.intern / 3600) || ':' || Trunc(Mod(t1.intern, 3600) / 60)  || ':' || Round(Mod(t1.intern, 60),0) as "Internal Talk Time"</a:t>
          </a:r>
        </a:p>
        <a:p>
          <a:r>
            <a:rPr lang="en-US" sz="1100"/>
            <a:t>      ,Trunc(t1.other / 3600) || ':' || Trunc(Mod(t1.other, 3600) / 60)  || ':' || Round(Mod(t1.other, 60),0) as "Other Talk Time"</a:t>
          </a:r>
        </a:p>
        <a:p>
          <a:r>
            <a:rPr lang="en-US" sz="1100"/>
            <a:t>      ,Trunc(t1.ring / 3600) || ':' || Trunc(Mod(t1.ring, 3600) / 60)  || ':' || Round(Mod(t1.ring, 60),0) as "Ring Time"</a:t>
          </a:r>
        </a:p>
        <a:p>
          <a:r>
            <a:rPr lang="en-US" sz="1100"/>
            <a:t>      ,Trunc(t1.idlet / 3600) || ':' || Trunc(Mod(t1.idlet, 3600) / 60)  || ':' || Round(Mod(t1.idlet, 60),0) as "Idle Time"</a:t>
          </a:r>
        </a:p>
        <a:p>
          <a:r>
            <a:rPr lang="en-US" sz="1100"/>
            <a:t>      </a:t>
          </a:r>
        </a:p>
        <a:p>
          <a:r>
            <a:rPr lang="en-US" sz="1100"/>
            <a:t>      --Not Ready Metrics</a:t>
          </a:r>
        </a:p>
        <a:p>
          <a:r>
            <a:rPr lang="en-US" sz="1100"/>
            <a:t>      ,Trunc(t2.train / 60) || ':' || Trunc(Mod(t2.train, 60))  || ':' || Round(Mod(t2.train*60, 60),0) as "Training Time"</a:t>
          </a:r>
        </a:p>
        <a:p>
          <a:r>
            <a:rPr lang="en-US" sz="1100"/>
            <a:t>      ,Trunc(t2.meeting / 60) || ':' || Trunc(Mod(t2.meeting, 60))  || ':' || Round(Mod(t2.meeting*60, 60),0) as "Meeting Time"</a:t>
          </a:r>
        </a:p>
        <a:p>
          <a:r>
            <a:rPr lang="en-US" sz="1100"/>
            <a:t>      ,Trunc(t2."Lunch" / 60) || ':' || Trunc(Mod(t2."Lunch", 60))  || ':' || Round(Mod(t2."Lunch"*60, 60),0) as "Lunch Time"</a:t>
          </a:r>
        </a:p>
        <a:p>
          <a:r>
            <a:rPr lang="en-US" sz="1100"/>
            <a:t>      ,Trunc(t2."Break" / 60) || ':' || Trunc(Mod(t2."Break", 60))  || ':' || Round(Mod(t2."Break"*60, 60),0) as "Break Time"</a:t>
          </a:r>
        </a:p>
        <a:p>
          <a:r>
            <a:rPr lang="en-US" sz="1100"/>
            <a:t>      ,Trunc(t2.other  / 60) || ':' || Trunc(Mod(t2.other, 60))  || ':' || Round(Mod(t2.other , 60),0) as "Other"</a:t>
          </a:r>
        </a:p>
        <a:p>
          <a:endParaRPr lang="en-US" sz="1100"/>
        </a:p>
        <a:p>
          <a:r>
            <a:rPr lang="en-US" sz="1100"/>
            <a:t>      --Bottom of the Dashboard</a:t>
          </a:r>
        </a:p>
        <a:p>
          <a:r>
            <a:rPr lang="en-US" sz="1100"/>
            <a:t>      ,round(t1."Occupancy (%)", 2) as "Occupancy (%)"</a:t>
          </a:r>
        </a:p>
        <a:p>
          <a:r>
            <a:rPr lang="en-US" sz="1100"/>
            <a:t>      ,t1.Calls_Handled</a:t>
          </a:r>
        </a:p>
        <a:p>
          <a:r>
            <a:rPr lang="en-US" sz="1100"/>
            <a:t>from t1, t2</a:t>
          </a:r>
        </a:p>
        <a:p>
          <a:r>
            <a:rPr lang="en-US" sz="1100"/>
            <a:t>where t1.program_name = t2.program_name; </a:t>
          </a:r>
        </a:p>
        <a:p>
          <a:endParaRPr lang="en-US" sz="1100"/>
        </a:p>
        <a:p>
          <a:endParaRPr lang="en-US" sz="1100"/>
        </a:p>
        <a:p>
          <a:endParaRPr lang="en-US" sz="1100"/>
        </a:p>
        <a:p>
          <a:endParaRPr lang="en-US" sz="1100"/>
        </a:p>
        <a:p>
          <a:endParaRPr lang="en-US" sz="1100"/>
        </a:p>
        <a:p>
          <a:endParaRPr lang="en-US" sz="1100"/>
        </a:p>
        <a:p>
          <a:r>
            <a:rPr lang="en-US" sz="1100"/>
            <a:t>--====================================================================PRODUCTION PLANNING======================================================================--</a:t>
          </a:r>
        </a:p>
        <a:p>
          <a:r>
            <a:rPr lang="en-US" sz="1100"/>
            <a:t>--1.01 </a:t>
          </a:r>
        </a:p>
        <a:p>
          <a:r>
            <a:rPr lang="en-US" sz="1100"/>
            <a:t>select '1.01' as Dashboard</a:t>
          </a:r>
        </a:p>
        <a:p>
          <a:endParaRPr lang="en-US" sz="1100"/>
        </a:p>
        <a:p>
          <a:r>
            <a:rPr lang="en-US" sz="1100"/>
            <a:t>,sum(f.contacts_offered) as offered</a:t>
          </a:r>
        </a:p>
        <a:p>
          <a:r>
            <a:rPr lang="en-US" sz="1100"/>
            <a:t>,sum(f.contacts_handled) as handled</a:t>
          </a:r>
        </a:p>
        <a:p>
          <a:r>
            <a:rPr lang="en-US" sz="1100"/>
            <a:t>,NVL(sum(f.contacts_transferred),0) as transferred</a:t>
          </a:r>
        </a:p>
        <a:p>
          <a:r>
            <a:rPr lang="en-US" sz="1100"/>
            <a:t>,case when sum(f.contacts_handled)= 0 then 0 else round((sum(f.answer_wait_time_total) / sum(f.contacts_handled)),0) end as asa</a:t>
          </a:r>
        </a:p>
        <a:p>
          <a:r>
            <a:rPr lang="en-US" sz="1100"/>
            <a:t>,case when sum(f.contacts_offered)= 0 then 0 else round((sum(f.contacts_abandoned - f.abandon_threshold) / sum(f.contacts_offered))*100,2) end as contract_ab_rate</a:t>
          </a:r>
        </a:p>
        <a:p>
          <a:r>
            <a:rPr lang="en-US" sz="1100"/>
            <a:t>,case when sum(f.contacts_handled)= 0 then 0 else round((sum(f.talk_time_total+f.hold_time_total+f.after_call_work_time_total)/sum(f.contacts_handled)),0) end as aht</a:t>
          </a:r>
        </a:p>
        <a:p>
          <a:r>
            <a:rPr lang="en-US" sz="1100"/>
            <a:t>,case when sum (f.contacts_handled) = 0 then 0 else round((sum(f.service_level_answered_count)/sum(f.contacts_handled))*100,2) end as sla_prct</a:t>
          </a:r>
        </a:p>
        <a:p>
          <a:r>
            <a:rPr lang="en-US" sz="1100"/>
            <a:t>,case when sum(f.contacts_handled)= 0 then 0 else NVL(round((sum(f.contacts_transferred) / sum(f.contacts_handled))*100,0),0) end as transfer_rate</a:t>
          </a:r>
        </a:p>
        <a:p>
          <a:r>
            <a:rPr lang="en-US" sz="1100"/>
            <a:t>,max(f.max_speed_of_answer) as max_sta</a:t>
          </a:r>
        </a:p>
        <a:p>
          <a:endParaRPr lang="en-US" sz="1100"/>
        </a:p>
        <a:p>
          <a:r>
            <a:rPr lang="en-US" sz="1100"/>
            <a:t>from   cc_f_actuals_queue_interval_sv f</a:t>
          </a:r>
        </a:p>
        <a:p>
          <a:r>
            <a:rPr lang="en-US" sz="1100"/>
            <a:t>inner join cc_d_dates d on f.d_date_id = d.d_date_id</a:t>
          </a:r>
        </a:p>
        <a:p>
          <a:r>
            <a:rPr lang="en-US" sz="1100"/>
            <a:t>inner join cc_d_program p on f.d_program_id = p.program_id</a:t>
          </a:r>
        </a:p>
        <a:p>
          <a:r>
            <a:rPr lang="en-US" sz="1100"/>
            <a:t>inner join cc_d_contact_queue q on f.d_contact_queue_id = q.d_contact_queue_id</a:t>
          </a:r>
        </a:p>
        <a:p>
          <a:r>
            <a:rPr lang="en-US" sz="1100"/>
            <a:t>inner join cc_d_project pj on f.d_project_id = pj.project_id</a:t>
          </a:r>
        </a:p>
        <a:p>
          <a:r>
            <a:rPr lang="en-US" sz="1100"/>
            <a:t>inner join cc_d_unit_of_work w on f.d_unit_of_work_id = w.uow_id</a:t>
          </a:r>
        </a:p>
        <a:p>
          <a:r>
            <a:rPr lang="en-US" sz="1100"/>
            <a:t>where d.d_date between '01-Oct-2016'  and '31-Oct-2016' </a:t>
          </a:r>
        </a:p>
        <a:p>
          <a:r>
            <a:rPr lang="en-US" sz="1100"/>
            <a:t>and   pj.project_name = 'CA HCO'</a:t>
          </a:r>
        </a:p>
        <a:p>
          <a:r>
            <a:rPr lang="en-US" sz="1100"/>
            <a:t>and    q.queue_type = 'Inbound'</a:t>
          </a:r>
        </a:p>
        <a:p>
          <a:r>
            <a:rPr lang="en-US" sz="1100"/>
            <a:t>group by '1.01'; </a:t>
          </a:r>
        </a:p>
        <a:p>
          <a:endParaRPr lang="en-US" sz="1100"/>
        </a:p>
        <a:p>
          <a:endParaRPr lang="en-US" sz="1100"/>
        </a:p>
        <a:p>
          <a:endParaRPr lang="en-US" sz="1100"/>
        </a:p>
        <a:p>
          <a:endParaRPr lang="en-US" sz="1100"/>
        </a:p>
        <a:p>
          <a:r>
            <a:rPr lang="en-US" sz="1100"/>
            <a:t>--1.11 </a:t>
          </a:r>
        </a:p>
        <a:p>
          <a:r>
            <a:rPr lang="en-US" sz="1100"/>
            <a:t>select '1.11' as Dashboard</a:t>
          </a:r>
        </a:p>
        <a:p>
          <a:endParaRPr lang="en-US" sz="1100"/>
        </a:p>
        <a:p>
          <a:r>
            <a:rPr lang="en-US" sz="1100"/>
            <a:t>,sum(f.contacts_offered) as offered</a:t>
          </a:r>
        </a:p>
        <a:p>
          <a:r>
            <a:rPr lang="en-US" sz="1100"/>
            <a:t>,sum(f.contacts_handled) as handled</a:t>
          </a:r>
        </a:p>
        <a:p>
          <a:r>
            <a:rPr lang="en-US" sz="1100"/>
            <a:t>,sum(f.contacts_abandoned) as abandon</a:t>
          </a:r>
        </a:p>
        <a:p>
          <a:r>
            <a:rPr lang="en-US" sz="1100"/>
            <a:t>,sum(f.abandon_threshold) as short_aban</a:t>
          </a:r>
        </a:p>
        <a:p>
          <a:r>
            <a:rPr lang="en-US" sz="1100"/>
            <a:t>,NVL(sum(f.contacts_transferred),0) as transferred</a:t>
          </a:r>
        </a:p>
        <a:p>
          <a:r>
            <a:rPr lang="en-US" sz="1100"/>
            <a:t>,case when sum(f.contacts_handled)= 0 then 0 else NVL(round((sum(f.contacts_transferred) / sum(f.contacts_handled))*100,0),0) end as transfer_rate</a:t>
          </a:r>
        </a:p>
        <a:p>
          <a:r>
            <a:rPr lang="en-US" sz="1100"/>
            <a:t>,case when sum(f.contacts_offered)= 0 then 0 else round((sum(f.contacts_abandoned) / sum(f.contacts_offered))*100,2) end as ab_rate</a:t>
          </a:r>
        </a:p>
        <a:p>
          <a:r>
            <a:rPr lang="en-US" sz="1100"/>
            <a:t>,case when sum(f.contacts_offered)= 0 then 0 else round((sum(f.contacts_abandoned-f.abandon_threshold) / sum(f.contacts_offered))*100,2) end as ab_rate_no_short</a:t>
          </a:r>
        </a:p>
        <a:p>
          <a:r>
            <a:rPr lang="en-US" sz="1100"/>
            <a:t>,case when sum(f.contacts_handled)= 0 then 0 else round((sum(f.talk_time_total+f.hold_time_total+f.after_call_work_time_total)/sum(f.contacts_handled)),0) end as aht</a:t>
          </a:r>
        </a:p>
        <a:p>
          <a:r>
            <a:rPr lang="en-US" sz="1100"/>
            <a:t>,case when sum(f.contacts_handled)= 0 then 0 else round((sum(f.answer_wait_time_total) / sum(f.contacts_handled)),0) end as asa</a:t>
          </a:r>
        </a:p>
        <a:p>
          <a:r>
            <a:rPr lang="en-US" sz="1100"/>
            <a:t>,max(f.max_speed_of_answer) as max_speed_ans</a:t>
          </a:r>
        </a:p>
        <a:p>
          <a:endParaRPr lang="en-US" sz="1100"/>
        </a:p>
        <a:p>
          <a:r>
            <a:rPr lang="en-US" sz="1100"/>
            <a:t>from   cc_f_actuals_queue_interval_sv f</a:t>
          </a:r>
        </a:p>
        <a:p>
          <a:r>
            <a:rPr lang="en-US" sz="1100"/>
            <a:t>inner join cc_d_dates d on f.d_date_id = d.d_date_id</a:t>
          </a:r>
        </a:p>
        <a:p>
          <a:r>
            <a:rPr lang="en-US" sz="1100"/>
            <a:t>inner join cc_d_program p on f.d_program_id = p.program_id</a:t>
          </a:r>
        </a:p>
        <a:p>
          <a:r>
            <a:rPr lang="en-US" sz="1100"/>
            <a:t>inner join cc_d_contact_queue q on f.d_contact_queue_id = q.d_contact_queue_id</a:t>
          </a:r>
        </a:p>
        <a:p>
          <a:r>
            <a:rPr lang="en-US" sz="1100"/>
            <a:t>inner join cc_d_interval i on f.d_interval_id = i.d_interval_id</a:t>
          </a:r>
        </a:p>
        <a:p>
          <a:r>
            <a:rPr lang="en-US" sz="1100"/>
            <a:t>inner join cc_d_project pj on f.d_project_id = pj.project_id</a:t>
          </a:r>
        </a:p>
        <a:p>
          <a:r>
            <a:rPr lang="en-US" sz="1100"/>
            <a:t>where d.d_date between '01-Oct-2016'  and '31-Oct-2016' </a:t>
          </a:r>
        </a:p>
        <a:p>
          <a:r>
            <a:rPr lang="en-US" sz="1100"/>
            <a:t>and   pj.project_name = 'CA HCO'</a:t>
          </a:r>
        </a:p>
        <a:p>
          <a:r>
            <a:rPr lang="en-US" sz="1100"/>
            <a:t>and    q.queue_type = 'Inbound'</a:t>
          </a:r>
        </a:p>
        <a:p>
          <a:r>
            <a:rPr lang="en-US" sz="1100"/>
            <a:t>group by '1.11'; </a:t>
          </a:r>
        </a:p>
        <a:p>
          <a:endParaRPr lang="en-US" sz="1100"/>
        </a:p>
        <a:p>
          <a:endParaRPr lang="en-US" sz="1100"/>
        </a:p>
      </xdr:txBody>
    </xdr:sp>
    <xdr:clientData/>
  </xdr:twoCellAnchor>
  <xdr:twoCellAnchor>
    <xdr:from>
      <xdr:col>2</xdr:col>
      <xdr:colOff>289560</xdr:colOff>
      <xdr:row>16</xdr:row>
      <xdr:rowOff>114300</xdr:rowOff>
    </xdr:from>
    <xdr:to>
      <xdr:col>7</xdr:col>
      <xdr:colOff>53340</xdr:colOff>
      <xdr:row>25</xdr:row>
      <xdr:rowOff>175260</xdr:rowOff>
    </xdr:to>
    <xdr:sp macro="" textlink="">
      <xdr:nvSpPr>
        <xdr:cNvPr id="9" name="TextBox 8"/>
        <xdr:cNvSpPr txBox="1"/>
      </xdr:nvSpPr>
      <xdr:spPr>
        <a:xfrm>
          <a:off x="1508760" y="3040380"/>
          <a:ext cx="2811780" cy="1706880"/>
        </a:xfrm>
        <a:prstGeom prst="rect">
          <a:avLst/>
        </a:prstGeom>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lstStyle/>
        <a:p>
          <a:r>
            <a:rPr lang="en-US" sz="1100"/>
            <a:t>Use to check the calls offered formula</a:t>
          </a:r>
          <a:r>
            <a:rPr lang="en-US" sz="1100" baseline="0"/>
            <a:t> (similar to PP4, but verifies the configuration formula):</a:t>
          </a:r>
          <a:endParaRPr lang="en-US" sz="1100"/>
        </a:p>
        <a:p>
          <a:endParaRPr lang="en-US" sz="1100"/>
        </a:p>
        <a:p>
          <a:r>
            <a:rPr lang="en-US" sz="1100">
              <a:solidFill>
                <a:schemeClr val="dk1"/>
              </a:solidFill>
              <a:effectLst/>
              <a:latin typeface="+mn-lt"/>
              <a:ea typeface="+mn-ea"/>
              <a:cs typeface="+mn-cs"/>
            </a:rPr>
            <a:t>select sum(contacts_offered)</a:t>
          </a:r>
        </a:p>
        <a:p>
          <a:r>
            <a:rPr lang="en-US" sz="1100">
              <a:solidFill>
                <a:schemeClr val="dk1"/>
              </a:solidFill>
              <a:effectLst/>
              <a:latin typeface="+mn-lt"/>
              <a:ea typeface="+mn-ea"/>
              <a:cs typeface="+mn-cs"/>
            </a:rPr>
            <a:t>from cc_f_actuals_queue_interval f</a:t>
          </a:r>
        </a:p>
        <a:p>
          <a:r>
            <a:rPr lang="en-US" sz="1100">
              <a:solidFill>
                <a:schemeClr val="dk1"/>
              </a:solidFill>
              <a:effectLst/>
              <a:latin typeface="+mn-lt"/>
              <a:ea typeface="+mn-ea"/>
              <a:cs typeface="+mn-cs"/>
            </a:rPr>
            <a:t>inner join cc_d_dates d on f.d_date_id = d.d_date_id</a:t>
          </a:r>
        </a:p>
        <a:p>
          <a:r>
            <a:rPr lang="en-US" sz="1100">
              <a:solidFill>
                <a:schemeClr val="dk1"/>
              </a:solidFill>
              <a:effectLst/>
              <a:latin typeface="+mn-lt"/>
              <a:ea typeface="+mn-ea"/>
              <a:cs typeface="+mn-cs"/>
            </a:rPr>
            <a:t>inner join cc_d_contact_queue q on f.d_contact_queue_id = q.d_contact_queue_id</a:t>
          </a:r>
        </a:p>
        <a:p>
          <a:r>
            <a:rPr lang="en-US" sz="1100">
              <a:solidFill>
                <a:schemeClr val="dk1"/>
              </a:solidFill>
              <a:effectLst/>
              <a:latin typeface="+mn-lt"/>
              <a:ea typeface="+mn-ea"/>
              <a:cs typeface="+mn-cs"/>
            </a:rPr>
            <a:t>where d.d_date = '29-Aug-2016'</a:t>
          </a:r>
        </a:p>
        <a:p>
          <a:r>
            <a:rPr lang="en-US" sz="1100">
              <a:solidFill>
                <a:schemeClr val="dk1"/>
              </a:solidFill>
              <a:effectLst/>
              <a:latin typeface="+mn-lt"/>
              <a:ea typeface="+mn-ea"/>
              <a:cs typeface="+mn-cs"/>
            </a:rPr>
            <a:t>and q.queue_number = '6031' </a:t>
          </a:r>
        </a:p>
        <a:p>
          <a:endParaRPr lang="en-US" sz="1100"/>
        </a:p>
      </xdr:txBody>
    </xdr:sp>
    <xdr:clientData/>
  </xdr:twoCellAnchor>
  <xdr:twoCellAnchor>
    <xdr:from>
      <xdr:col>13</xdr:col>
      <xdr:colOff>381000</xdr:colOff>
      <xdr:row>1</xdr:row>
      <xdr:rowOff>30480</xdr:rowOff>
    </xdr:from>
    <xdr:to>
      <xdr:col>18</xdr:col>
      <xdr:colOff>350520</xdr:colOff>
      <xdr:row>12</xdr:row>
      <xdr:rowOff>38100</xdr:rowOff>
    </xdr:to>
    <xdr:sp macro="" textlink="">
      <xdr:nvSpPr>
        <xdr:cNvPr id="10" name="TextBox 9"/>
        <xdr:cNvSpPr txBox="1"/>
      </xdr:nvSpPr>
      <xdr:spPr>
        <a:xfrm>
          <a:off x="8305800" y="213360"/>
          <a:ext cx="3017520"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3">
                  <a:lumMod val="50000"/>
                </a:schemeClr>
              </a:solidFill>
            </a:rPr>
            <a:t>For Report Validation:</a:t>
          </a:r>
          <a:r>
            <a:rPr lang="en-US" sz="1100" baseline="0">
              <a:solidFill>
                <a:schemeClr val="accent3">
                  <a:lumMod val="50000"/>
                </a:schemeClr>
              </a:solidFill>
            </a:rPr>
            <a:t> </a:t>
          </a:r>
          <a:endParaRPr lang="en-US" sz="1100">
            <a:solidFill>
              <a:schemeClr val="accent3">
                <a:lumMod val="50000"/>
              </a:schemeClr>
            </a:solidFill>
          </a:endParaRPr>
        </a:p>
        <a:p>
          <a:r>
            <a:rPr lang="en-US" sz="1100"/>
            <a:t>Manuall run the script below, going query</a:t>
          </a:r>
          <a:r>
            <a:rPr lang="en-US" sz="1100" baseline="0"/>
            <a:t> by query as these need to be compared against the dashboard visually. </a:t>
          </a:r>
        </a:p>
        <a:p>
          <a:endParaRPr lang="en-US" sz="1100" baseline="0"/>
        </a:p>
        <a:p>
          <a:endParaRPr lang="en-US" sz="1100" baseline="0"/>
        </a:p>
        <a:p>
          <a:endParaRPr lang="en-US" sz="1100" baseline="0"/>
        </a:p>
        <a:p>
          <a:endParaRPr lang="en-US" sz="1100" baseline="0"/>
        </a:p>
        <a:p>
          <a:endParaRPr lang="en-US" sz="1100" baseline="0"/>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Manual</a:t>
          </a:r>
          <a:r>
            <a:rPr lang="en-US" sz="1100" baseline="0">
              <a:solidFill>
                <a:schemeClr val="dk1"/>
              </a:solidFill>
              <a:effectLst/>
              <a:latin typeface="+mn-lt"/>
              <a:ea typeface="+mn-ea"/>
              <a:cs typeface="+mn-cs"/>
            </a:rPr>
            <a:t> Script Below:</a:t>
          </a:r>
          <a:endParaRPr lang="en-US">
            <a:effectLst/>
          </a:endParaRPr>
        </a:p>
      </xdr:txBody>
    </xdr:sp>
    <xdr:clientData/>
  </xdr:twoCellAnchor>
  <xdr:twoCellAnchor>
    <xdr:from>
      <xdr:col>7</xdr:col>
      <xdr:colOff>438151</xdr:colOff>
      <xdr:row>16</xdr:row>
      <xdr:rowOff>114299</xdr:rowOff>
    </xdr:from>
    <xdr:to>
      <xdr:col>18</xdr:col>
      <xdr:colOff>361951</xdr:colOff>
      <xdr:row>33</xdr:row>
      <xdr:rowOff>28574</xdr:rowOff>
    </xdr:to>
    <xdr:sp macro="" textlink="">
      <xdr:nvSpPr>
        <xdr:cNvPr id="11" name="TextBox 10"/>
        <xdr:cNvSpPr txBox="1"/>
      </xdr:nvSpPr>
      <xdr:spPr>
        <a:xfrm>
          <a:off x="4705351" y="3162299"/>
          <a:ext cx="6629400" cy="3152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u="sng"/>
            <a:t>General Instructions: </a:t>
          </a:r>
        </a:p>
        <a:p>
          <a:endParaRPr lang="en-US" sz="1000"/>
        </a:p>
        <a:p>
          <a:r>
            <a:rPr lang="en-US" sz="1000" u="sng"/>
            <a:t>Rule Validation Tab</a:t>
          </a:r>
        </a:p>
        <a:p>
          <a:r>
            <a:rPr lang="en-US" sz="1000"/>
            <a:t>- First,</a:t>
          </a:r>
          <a:r>
            <a:rPr lang="en-US" sz="1000" baseline="0"/>
            <a:t> update the queries as specified in the upper left box so that they correspond to the project you are working with. Also be sure to key in your personal connection data (userid and password).</a:t>
          </a:r>
        </a:p>
        <a:p>
          <a:r>
            <a:rPr lang="en-US" sz="1000" baseline="0"/>
            <a:t>- Second, hit the red button to refresh the data. This data will refresh automatically on the lightly colored orange tabs. </a:t>
          </a:r>
        </a:p>
        <a:p>
          <a:r>
            <a:rPr lang="en-US" sz="1000" baseline="0"/>
            <a:t>- Finally, run the queries manually in Oracle (Decision Point) that are directly below the upper right box. Import the data into the various CF and PP tabs based on the notes in the queries as to which query output corresponds to which test</a:t>
          </a:r>
        </a:p>
        <a:p>
          <a:r>
            <a:rPr lang="en-US" sz="1000" baseline="0"/>
            <a:t>- The data will then be used as a reference for the completion of the "rule validation" tab. </a:t>
          </a:r>
        </a:p>
        <a:p>
          <a:endParaRPr lang="en-US" sz="1000" baseline="0"/>
        </a:p>
        <a:p>
          <a:r>
            <a:rPr lang="en-US" sz="1000" u="sng" baseline="0"/>
            <a:t>Report Validation Tab</a:t>
          </a:r>
        </a:p>
        <a:p>
          <a:r>
            <a:rPr lang="en-US" sz="1000" baseline="0"/>
            <a:t>- Copy the scripts under the upper right box and run in Oracle SQL Developer within the appropriate database for the project you are working on. </a:t>
          </a:r>
        </a:p>
        <a:p>
          <a:r>
            <a:rPr lang="en-US" sz="1000" baseline="0"/>
            <a:t>- The output will correspond to the main components of the "out of the box" reporting in MicroStrategy</a:t>
          </a:r>
        </a:p>
        <a:p>
          <a:r>
            <a:rPr lang="en-US" sz="1000" baseline="0"/>
            <a:t>- Do a visual comparison between the query output and the applicable out of the box MicroStrategy reports for the completion of the "report validation scrips" tab. </a:t>
          </a:r>
        </a:p>
        <a:p>
          <a:r>
            <a:rPr lang="en-US" sz="1000" baseline="0"/>
            <a:t>     - Note: As projects change, the report validation tab may need to be altered. Please consult your manager if you feel this to be the case.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556260</xdr:colOff>
      <xdr:row>2</xdr:row>
      <xdr:rowOff>7619</xdr:rowOff>
    </xdr:from>
    <xdr:ext cx="1379220" cy="617221"/>
    <xdr:sp macro="" textlink="">
      <xdr:nvSpPr>
        <xdr:cNvPr id="2" name="TextBox 1"/>
        <xdr:cNvSpPr txBox="1"/>
      </xdr:nvSpPr>
      <xdr:spPr>
        <a:xfrm>
          <a:off x="10866120" y="373379"/>
          <a:ext cx="1379220" cy="6172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Manual Check</a:t>
          </a:r>
          <a:r>
            <a:rPr lang="en-US" sz="1100" baseline="0">
              <a:solidFill>
                <a:schemeClr val="tx1"/>
              </a:solidFill>
              <a:effectLst/>
              <a:latin typeface="+mn-lt"/>
              <a:ea typeface="+mn-ea"/>
              <a:cs typeface="+mn-cs"/>
            </a:rPr>
            <a:t> against config spreadsheet</a:t>
          </a:r>
          <a:endParaRPr lang="en-US">
            <a:effectLst/>
          </a:endParaRPr>
        </a:p>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8</xdr:col>
      <xdr:colOff>243840</xdr:colOff>
      <xdr:row>0</xdr:row>
      <xdr:rowOff>160020</xdr:rowOff>
    </xdr:from>
    <xdr:to>
      <xdr:col>10</xdr:col>
      <xdr:colOff>495300</xdr:colOff>
      <xdr:row>3</xdr:row>
      <xdr:rowOff>83820</xdr:rowOff>
    </xdr:to>
    <xdr:sp macro="" textlink="">
      <xdr:nvSpPr>
        <xdr:cNvPr id="2" name="TextBox 1"/>
        <xdr:cNvSpPr txBox="1"/>
      </xdr:nvSpPr>
      <xdr:spPr>
        <a:xfrm>
          <a:off x="5676900" y="160020"/>
          <a:ext cx="1470660" cy="472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Manual Check</a:t>
          </a:r>
          <a:r>
            <a:rPr lang="en-US" sz="1100" baseline="0"/>
            <a:t> against config spreadsheet</a:t>
          </a:r>
          <a:endParaRPr lang="en-US" sz="1100"/>
        </a:p>
      </xdr:txBody>
    </xdr:sp>
    <xdr:clientData/>
  </xdr:twoCellAnchor>
</xdr:wsDr>
</file>

<file path=xl/queryTables/queryTable1.xml><?xml version="1.0" encoding="utf-8"?>
<queryTable xmlns="http://schemas.openxmlformats.org/spreadsheetml/2006/main" name="ExternalData_1" connectionId="1" autoFormatId="16" applyNumberFormats="0" applyBorderFormats="0" applyFontFormats="0" applyPatternFormats="0" applyAlignmentFormats="0" applyWidthHeightFormats="0">
  <queryTableRefresh nextId="5">
    <queryTableFields count="4">
      <queryTableField id="1" name="TestNo" tableColumnId="1"/>
      <queryTableField id="2" name="CallTypeID" tableColumnId="2"/>
      <queryTableField id="3" name="EnterpriseName" tableColumnId="3"/>
      <queryTableField id="4" name="DateAdded" tableColumnId="4"/>
    </queryTableFields>
  </queryTableRefresh>
</queryTable>
</file>

<file path=xl/queryTables/queryTable2.xml><?xml version="1.0" encoding="utf-8"?>
<queryTable xmlns="http://schemas.openxmlformats.org/spreadsheetml/2006/main" name="ExternalData_1" connectionId="2" autoFormatId="16" applyNumberFormats="0" applyBorderFormats="0" applyFontFormats="0" applyPatternFormats="0" applyAlignmentFormats="0" applyWidthHeightFormats="0">
  <queryTableRefresh nextId="9">
    <queryTableFields count="8">
      <queryTableField id="1" name="TestNo" tableColumnId="1"/>
      <queryTableField id="2" name="Date" tableColumnId="2"/>
      <queryTableField id="3" name="CallTypeID" tableColumnId="3"/>
      <queryTableField id="4" name="EnterpriseName" tableColumnId="4"/>
      <queryTableField id="5" name="Offered" tableColumnId="5"/>
      <queryTableField id="6" name="Handle" tableColumnId="6"/>
      <queryTableField id="7" name="CalcAband" tableColumnId="7"/>
      <queryTableField id="8" name="TotAband" tableColumnId="8"/>
    </queryTableFields>
  </queryTableRefresh>
</queryTable>
</file>

<file path=xl/queryTables/queryTable3.xml><?xml version="1.0" encoding="utf-8"?>
<queryTable xmlns="http://schemas.openxmlformats.org/spreadsheetml/2006/main" name="ExternalData_1" connectionId="3" autoFormatId="16" applyNumberFormats="0" applyBorderFormats="0" applyFontFormats="0" applyPatternFormats="0" applyAlignmentFormats="0" applyWidthHeightFormats="0">
  <queryTableRefresh nextId="19">
    <queryTableFields count="17">
      <queryTableField id="1" name="TestNo" tableColumnId="1"/>
      <queryTableField id="2" name="Date" tableColumnId="2"/>
      <queryTableField id="3" name="DateTime" tableColumnId="3"/>
      <queryTableField id="4" name="CallTypeID" tableColumnId="4"/>
      <queryTableField id="5" name="EnterpriseName" tableColumnId="5"/>
      <queryTableField id="6" name="HandleTime" tableColumnId="6"/>
      <queryTableField id="7" name="CallsHandled" tableColumnId="7"/>
      <queryTableField id="8" name="AHT" tableColumnId="8"/>
      <queryTableField id="9" name="AnswerWaitTime" tableColumnId="9"/>
      <queryTableField id="10" name="CallsAnswered" tableColumnId="10"/>
      <queryTableField id="11" name="ASA" tableColumnId="11"/>
      <queryTableField id="13" name="CallDelayAbandTime" tableColumnId="13"/>
      <queryTableField id="14" name="TalkTime" tableColumnId="14"/>
      <queryTableField id="15" name="Calc_Wrap" tableColumnId="15"/>
      <queryTableField id="16" name="HoldTime" tableColumnId="16"/>
      <queryTableField id="17" name="AbandInterval1" tableColumnId="17"/>
      <queryTableField id="18" name="SysOut" tableColumnId="18"/>
    </queryTableFields>
    <queryTableDeletedFields count="1">
      <deletedField name="RouterQueueWaitTime"/>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Table_ExternalData_1" displayName="Table_ExternalData_1" ref="A1:D57" tableType="queryTable" totalsRowShown="0">
  <autoFilter ref="A1:D57"/>
  <tableColumns count="4">
    <tableColumn id="1" uniqueName="1" name="TestNo" queryTableFieldId="1"/>
    <tableColumn id="2" uniqueName="2" name="CallTypeID" queryTableFieldId="2"/>
    <tableColumn id="3" uniqueName="3" name="EnterpriseName" queryTableFieldId="3"/>
    <tableColumn id="4" uniqueName="4" name="DateAdded" queryTableFieldId="4" dataDxfId="47"/>
  </tableColumns>
  <tableStyleInfo name="TableStyleMedium2" showFirstColumn="0" showLastColumn="0" showRowStripes="1" showColumnStripes="0"/>
</table>
</file>

<file path=xl/tables/table2.xml><?xml version="1.0" encoding="utf-8"?>
<table xmlns="http://schemas.openxmlformats.org/spreadsheetml/2006/main" id="1" name="Table_ExternalData_142" displayName="Table_ExternalData_142" ref="A1:H46" tableType="queryTable" totalsRowShown="0">
  <autoFilter ref="A1:H46"/>
  <tableColumns count="8">
    <tableColumn id="1" uniqueName="1" name="TestNo" queryTableFieldId="1"/>
    <tableColumn id="2" uniqueName="2" name="Date" queryTableFieldId="2"/>
    <tableColumn id="3" uniqueName="3" name="CallTypeID" queryTableFieldId="3"/>
    <tableColumn id="4" uniqueName="4" name="EnterpriseName" queryTableFieldId="4"/>
    <tableColumn id="5" uniqueName="5" name="Offered" queryTableFieldId="5"/>
    <tableColumn id="6" uniqueName="6" name="Handle" queryTableFieldId="6"/>
    <tableColumn id="7" uniqueName="7" name="CalcAband" queryTableFieldId="7"/>
    <tableColumn id="8" uniqueName="8" name="TotAband" queryTableFieldId="8"/>
  </tableColumns>
  <tableStyleInfo name="TableStyleMedium2" showFirstColumn="0" showLastColumn="0" showRowStripes="1" showColumnStripes="0"/>
</table>
</file>

<file path=xl/tables/table3.xml><?xml version="1.0" encoding="utf-8"?>
<table xmlns="http://schemas.openxmlformats.org/spreadsheetml/2006/main" id="5" name="Table_ExternalData_156" displayName="Table_ExternalData_156" ref="A1:Q339" tableType="queryTable" totalsRowShown="0">
  <autoFilter ref="A1:Q339"/>
  <tableColumns count="17">
    <tableColumn id="1" uniqueName="1" name="TestNo" queryTableFieldId="1"/>
    <tableColumn id="2" uniqueName="2" name="Date" queryTableFieldId="2"/>
    <tableColumn id="3" uniqueName="3" name="DateTime" queryTableFieldId="3" dataDxfId="46"/>
    <tableColumn id="4" uniqueName="4" name="CallTypeID" queryTableFieldId="4"/>
    <tableColumn id="5" uniqueName="5" name="EnterpriseName" queryTableFieldId="5"/>
    <tableColumn id="6" uniqueName="6" name="HandleTime" queryTableFieldId="6"/>
    <tableColumn id="7" uniqueName="7" name="CallsHandled" queryTableFieldId="7"/>
    <tableColumn id="8" uniqueName="8" name="AHT" queryTableFieldId="8" dataDxfId="45"/>
    <tableColumn id="9" uniqueName="9" name="AnswerWaitTime" queryTableFieldId="9"/>
    <tableColumn id="10" uniqueName="10" name="CallsAnswered" queryTableFieldId="10"/>
    <tableColumn id="11" uniqueName="11" name="ASA" queryTableFieldId="11"/>
    <tableColumn id="13" uniqueName="13" name="CallDelayAbandTime" queryTableFieldId="13"/>
    <tableColumn id="14" uniqueName="14" name="TalkTime" queryTableFieldId="14"/>
    <tableColumn id="15" uniqueName="15" name="Calc_Wrap" queryTableFieldId="15"/>
    <tableColumn id="16" uniqueName="16" name="HoldTime" queryTableFieldId="16"/>
    <tableColumn id="17" uniqueName="17" name="AbandInterval1" queryTableFieldId="17"/>
    <tableColumn id="18" uniqueName="18" name="SysOut" queryTableField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
  <sheetViews>
    <sheetView showGridLines="0" showRowColHeaders="0" topLeftCell="A7" workbookViewId="0"/>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sheetPr>
  <dimension ref="A1:M42"/>
  <sheetViews>
    <sheetView zoomScale="85" zoomScaleNormal="85" workbookViewId="0">
      <pane xSplit="1" ySplit="3" topLeftCell="B42" activePane="bottomRight" state="frozen"/>
      <selection pane="topRight" activeCell="B1" sqref="B1"/>
      <selection pane="bottomLeft" activeCell="A4" sqref="A4"/>
      <selection pane="bottomRight" activeCell="F42" sqref="F42"/>
    </sheetView>
  </sheetViews>
  <sheetFormatPr defaultRowHeight="14.4" x14ac:dyDescent="0.3"/>
  <cols>
    <col min="1" max="1" width="9.6640625" bestFit="1" customWidth="1"/>
    <col min="2" max="4" width="18.6640625" customWidth="1"/>
    <col min="5" max="5" width="24.33203125" customWidth="1"/>
    <col min="6" max="6" width="22" customWidth="1"/>
    <col min="7" max="7" width="17.33203125" bestFit="1" customWidth="1"/>
    <col min="8" max="10" width="18.6640625" customWidth="1"/>
    <col min="12" max="12" width="15.6640625" customWidth="1"/>
    <col min="13" max="13" width="22.33203125" customWidth="1"/>
  </cols>
  <sheetData>
    <row r="1" spans="1:13" s="11" customFormat="1" ht="84" x14ac:dyDescent="0.3">
      <c r="A1" s="8" t="s">
        <v>102</v>
      </c>
      <c r="B1" s="8" t="s">
        <v>25</v>
      </c>
      <c r="C1" s="8" t="s">
        <v>26</v>
      </c>
      <c r="D1" s="8" t="s">
        <v>27</v>
      </c>
      <c r="E1" s="8" t="s">
        <v>103</v>
      </c>
      <c r="F1" s="8" t="s">
        <v>104</v>
      </c>
      <c r="G1" s="8" t="s">
        <v>28</v>
      </c>
      <c r="H1" s="9" t="s">
        <v>105</v>
      </c>
      <c r="I1" s="10" t="s">
        <v>106</v>
      </c>
      <c r="J1" s="10" t="s">
        <v>107</v>
      </c>
      <c r="K1" s="56" t="s">
        <v>108</v>
      </c>
      <c r="L1" s="57"/>
      <c r="M1" s="58"/>
    </row>
    <row r="2" spans="1:13" ht="25.2" customHeight="1" x14ac:dyDescent="0.3">
      <c r="A2" s="14"/>
      <c r="B2" s="14"/>
      <c r="C2" s="14"/>
      <c r="D2" s="14"/>
      <c r="E2" s="14"/>
      <c r="F2" s="14"/>
      <c r="G2" s="14"/>
      <c r="H2" s="14"/>
      <c r="I2" s="14"/>
      <c r="J2" s="14"/>
      <c r="K2" s="15"/>
      <c r="L2" s="15" t="s">
        <v>251</v>
      </c>
      <c r="M2" s="15" t="s">
        <v>29</v>
      </c>
    </row>
    <row r="3" spans="1:13" x14ac:dyDescent="0.3">
      <c r="A3" s="59" t="s">
        <v>30</v>
      </c>
      <c r="B3" s="60"/>
      <c r="C3" s="60"/>
      <c r="D3" s="60"/>
      <c r="E3" s="60"/>
      <c r="F3" s="60"/>
      <c r="G3" s="60"/>
      <c r="H3" s="60"/>
      <c r="I3" s="60"/>
      <c r="J3" s="60"/>
      <c r="K3" s="60"/>
      <c r="L3" s="60"/>
      <c r="M3" s="61"/>
    </row>
    <row r="4" spans="1:13" ht="103.8" customHeight="1" x14ac:dyDescent="0.3">
      <c r="A4" s="1" t="s">
        <v>4</v>
      </c>
      <c r="B4" s="1" t="s">
        <v>31</v>
      </c>
      <c r="C4" s="2" t="s">
        <v>32</v>
      </c>
      <c r="D4" s="2" t="s">
        <v>33</v>
      </c>
      <c r="E4" s="3" t="s">
        <v>267</v>
      </c>
      <c r="F4" s="4" t="s">
        <v>682</v>
      </c>
      <c r="G4" s="5"/>
      <c r="H4" s="6"/>
      <c r="I4" s="6"/>
      <c r="J4" s="6"/>
      <c r="K4" s="13"/>
      <c r="L4" s="12"/>
      <c r="M4" s="13"/>
    </row>
    <row r="5" spans="1:13" ht="103.95" customHeight="1" x14ac:dyDescent="0.3">
      <c r="A5" s="1" t="s">
        <v>35</v>
      </c>
      <c r="B5" s="1" t="s">
        <v>36</v>
      </c>
      <c r="C5" s="2" t="s">
        <v>37</v>
      </c>
      <c r="D5" s="2" t="s">
        <v>713</v>
      </c>
      <c r="E5" s="3" t="s">
        <v>297</v>
      </c>
      <c r="F5" s="4" t="s">
        <v>34</v>
      </c>
      <c r="G5" s="5" t="s">
        <v>714</v>
      </c>
      <c r="H5" s="6"/>
      <c r="I5" s="6"/>
      <c r="J5" s="6"/>
      <c r="K5" s="13"/>
      <c r="L5" s="12"/>
      <c r="M5" s="13"/>
    </row>
    <row r="6" spans="1:13" ht="103.95" customHeight="1" x14ac:dyDescent="0.3">
      <c r="A6" s="1" t="s">
        <v>38</v>
      </c>
      <c r="B6" s="1" t="s">
        <v>39</v>
      </c>
      <c r="C6" s="2" t="s">
        <v>40</v>
      </c>
      <c r="D6" s="2" t="s">
        <v>41</v>
      </c>
      <c r="E6" s="3" t="s">
        <v>298</v>
      </c>
      <c r="F6" s="4" t="s">
        <v>299</v>
      </c>
      <c r="G6" s="5"/>
      <c r="H6" s="6"/>
      <c r="I6" s="6"/>
      <c r="J6" s="6"/>
      <c r="K6" s="13"/>
      <c r="L6" s="12"/>
      <c r="M6" s="13"/>
    </row>
    <row r="7" spans="1:13" x14ac:dyDescent="0.3">
      <c r="A7" s="62" t="s">
        <v>42</v>
      </c>
      <c r="B7" s="63"/>
      <c r="C7" s="63"/>
      <c r="D7" s="63"/>
      <c r="E7" s="63"/>
      <c r="F7" s="63"/>
      <c r="G7" s="63"/>
      <c r="H7" s="63"/>
      <c r="I7" s="63"/>
      <c r="J7" s="63"/>
      <c r="K7" s="63"/>
      <c r="L7" s="63"/>
      <c r="M7" s="64"/>
    </row>
    <row r="8" spans="1:13" ht="103.95" customHeight="1" x14ac:dyDescent="0.3">
      <c r="A8" s="1" t="s">
        <v>43</v>
      </c>
      <c r="B8" s="1" t="s">
        <v>44</v>
      </c>
      <c r="C8" s="1" t="s">
        <v>45</v>
      </c>
      <c r="D8" s="2" t="s">
        <v>46</v>
      </c>
      <c r="E8" s="3" t="s">
        <v>341</v>
      </c>
      <c r="F8" s="4" t="s">
        <v>34</v>
      </c>
      <c r="G8" s="5"/>
      <c r="H8" s="6"/>
      <c r="I8" s="6"/>
      <c r="J8" s="6"/>
      <c r="K8" s="13"/>
      <c r="L8" s="12"/>
      <c r="M8" s="13"/>
    </row>
    <row r="9" spans="1:13" ht="103.95" customHeight="1" x14ac:dyDescent="0.3">
      <c r="A9" s="1" t="s">
        <v>47</v>
      </c>
      <c r="B9" s="1" t="s">
        <v>44</v>
      </c>
      <c r="C9" s="1" t="s">
        <v>48</v>
      </c>
      <c r="D9" s="2" t="s">
        <v>46</v>
      </c>
      <c r="E9" s="3" t="s">
        <v>342</v>
      </c>
      <c r="F9" s="4" t="s">
        <v>34</v>
      </c>
      <c r="G9" s="5"/>
      <c r="H9" s="6"/>
      <c r="I9" s="6"/>
      <c r="J9" s="6"/>
      <c r="K9" s="13"/>
      <c r="L9" s="12"/>
      <c r="M9" s="13"/>
    </row>
    <row r="10" spans="1:13" ht="103.95" customHeight="1" x14ac:dyDescent="0.3">
      <c r="A10" s="1" t="s">
        <v>49</v>
      </c>
      <c r="B10" s="1" t="s">
        <v>44</v>
      </c>
      <c r="C10" s="1" t="s">
        <v>50</v>
      </c>
      <c r="D10" s="2" t="s">
        <v>46</v>
      </c>
      <c r="E10" s="3" t="s">
        <v>343</v>
      </c>
      <c r="F10" s="4" t="s">
        <v>34</v>
      </c>
      <c r="G10" s="5"/>
      <c r="H10" s="6"/>
      <c r="I10" s="6"/>
      <c r="J10" s="6"/>
      <c r="K10" s="13"/>
      <c r="L10" s="12"/>
      <c r="M10" s="13"/>
    </row>
    <row r="11" spans="1:13" ht="103.95" customHeight="1" x14ac:dyDescent="0.3">
      <c r="A11" s="2" t="s">
        <v>10</v>
      </c>
      <c r="B11" s="2" t="s">
        <v>51</v>
      </c>
      <c r="C11" s="2" t="s">
        <v>52</v>
      </c>
      <c r="D11" s="2" t="s">
        <v>53</v>
      </c>
      <c r="E11" s="3" t="s">
        <v>684</v>
      </c>
      <c r="F11" s="4" t="s">
        <v>683</v>
      </c>
      <c r="G11" s="5" t="s">
        <v>711</v>
      </c>
      <c r="H11" s="7"/>
      <c r="I11" s="7"/>
      <c r="J11" s="7"/>
      <c r="K11" s="13"/>
      <c r="L11" s="12"/>
      <c r="M11" s="13"/>
    </row>
    <row r="12" spans="1:13" ht="103.95" customHeight="1" x14ac:dyDescent="0.3">
      <c r="A12" s="1" t="s">
        <v>54</v>
      </c>
      <c r="B12" s="1" t="s">
        <v>51</v>
      </c>
      <c r="C12" s="1" t="s">
        <v>55</v>
      </c>
      <c r="D12" s="2" t="s">
        <v>56</v>
      </c>
      <c r="E12" s="3" t="s">
        <v>685</v>
      </c>
      <c r="F12" s="4" t="s">
        <v>707</v>
      </c>
      <c r="G12" s="5" t="s">
        <v>57</v>
      </c>
      <c r="H12" s="6"/>
      <c r="I12" s="6"/>
      <c r="J12" s="6"/>
      <c r="K12" s="13"/>
      <c r="L12" s="12"/>
      <c r="M12" s="13"/>
    </row>
    <row r="13" spans="1:13" ht="103.95" customHeight="1" x14ac:dyDescent="0.3">
      <c r="A13" s="2" t="s">
        <v>58</v>
      </c>
      <c r="B13" s="2" t="s">
        <v>51</v>
      </c>
      <c r="C13" s="2" t="s">
        <v>59</v>
      </c>
      <c r="D13" s="2" t="s">
        <v>60</v>
      </c>
      <c r="E13" s="3" t="s">
        <v>706</v>
      </c>
      <c r="F13" s="4" t="s">
        <v>705</v>
      </c>
      <c r="G13" s="5" t="s">
        <v>715</v>
      </c>
      <c r="H13" s="7"/>
      <c r="I13" s="7"/>
      <c r="J13" s="7"/>
      <c r="K13" s="13"/>
      <c r="L13" s="12"/>
      <c r="M13" s="13"/>
    </row>
    <row r="14" spans="1:13" ht="103.95" customHeight="1" x14ac:dyDescent="0.3">
      <c r="A14" s="2" t="s">
        <v>61</v>
      </c>
      <c r="B14" s="2" t="s">
        <v>51</v>
      </c>
      <c r="C14" s="2" t="s">
        <v>62</v>
      </c>
      <c r="D14" s="2" t="s">
        <v>63</v>
      </c>
      <c r="E14" s="3" t="s">
        <v>704</v>
      </c>
      <c r="F14" s="4" t="s">
        <v>703</v>
      </c>
      <c r="G14" s="5" t="s">
        <v>715</v>
      </c>
      <c r="H14" s="7"/>
      <c r="I14" s="7"/>
      <c r="J14" s="7"/>
      <c r="K14" s="13"/>
      <c r="L14" s="12"/>
      <c r="M14" s="13"/>
    </row>
    <row r="15" spans="1:13" ht="103.95" customHeight="1" x14ac:dyDescent="0.3">
      <c r="A15" s="2" t="s">
        <v>64</v>
      </c>
      <c r="B15" s="2" t="s">
        <v>51</v>
      </c>
      <c r="C15" s="2" t="s">
        <v>65</v>
      </c>
      <c r="D15" s="2" t="s">
        <v>66</v>
      </c>
      <c r="E15" s="3" t="s">
        <v>701</v>
      </c>
      <c r="F15" s="4" t="s">
        <v>702</v>
      </c>
      <c r="G15" s="5" t="s">
        <v>715</v>
      </c>
      <c r="H15" s="7"/>
      <c r="I15" s="7"/>
      <c r="J15" s="7"/>
      <c r="K15" s="13"/>
      <c r="L15" s="12"/>
      <c r="M15" s="13"/>
    </row>
    <row r="16" spans="1:13" ht="103.95" customHeight="1" x14ac:dyDescent="0.3">
      <c r="A16" s="2" t="s">
        <v>67</v>
      </c>
      <c r="B16" s="2" t="s">
        <v>51</v>
      </c>
      <c r="C16" s="2" t="s">
        <v>68</v>
      </c>
      <c r="D16" s="2" t="s">
        <v>69</v>
      </c>
      <c r="E16" s="3" t="s">
        <v>700</v>
      </c>
      <c r="F16" s="4" t="s">
        <v>699</v>
      </c>
      <c r="G16" s="5" t="s">
        <v>715</v>
      </c>
      <c r="H16" s="7"/>
      <c r="I16" s="7"/>
      <c r="J16" s="7"/>
      <c r="K16" s="13"/>
      <c r="L16" s="12"/>
      <c r="M16" s="13"/>
    </row>
    <row r="17" spans="1:13" ht="103.95" customHeight="1" x14ac:dyDescent="0.3">
      <c r="A17" s="2" t="s">
        <v>70</v>
      </c>
      <c r="B17" s="2" t="s">
        <v>51</v>
      </c>
      <c r="C17" s="2" t="s">
        <v>71</v>
      </c>
      <c r="D17" s="2" t="s">
        <v>72</v>
      </c>
      <c r="E17" s="3" t="s">
        <v>698</v>
      </c>
      <c r="F17" s="4" t="s">
        <v>697</v>
      </c>
      <c r="G17" s="5" t="s">
        <v>715</v>
      </c>
      <c r="H17" s="7"/>
      <c r="I17" s="7"/>
      <c r="J17" s="7"/>
      <c r="K17" s="13"/>
      <c r="L17" s="12"/>
      <c r="M17" s="13"/>
    </row>
    <row r="18" spans="1:13" ht="103.95" customHeight="1" x14ac:dyDescent="0.3">
      <c r="A18" s="2" t="s">
        <v>73</v>
      </c>
      <c r="B18" s="2" t="s">
        <v>51</v>
      </c>
      <c r="C18" s="2" t="s">
        <v>74</v>
      </c>
      <c r="D18" s="2" t="s">
        <v>75</v>
      </c>
      <c r="E18" s="3" t="s">
        <v>696</v>
      </c>
      <c r="F18" s="4" t="s">
        <v>695</v>
      </c>
      <c r="G18" s="5" t="s">
        <v>715</v>
      </c>
      <c r="H18" s="7"/>
      <c r="I18" s="7"/>
      <c r="J18" s="7"/>
      <c r="K18" s="13"/>
      <c r="L18" s="12"/>
      <c r="M18" s="13"/>
    </row>
    <row r="19" spans="1:13" ht="103.95" customHeight="1" x14ac:dyDescent="0.3">
      <c r="A19" s="2" t="s">
        <v>76</v>
      </c>
      <c r="B19" s="2" t="s">
        <v>51</v>
      </c>
      <c r="C19" s="2" t="s">
        <v>77</v>
      </c>
      <c r="D19" s="2" t="s">
        <v>78</v>
      </c>
      <c r="E19" s="3" t="s">
        <v>694</v>
      </c>
      <c r="F19" s="4" t="s">
        <v>693</v>
      </c>
      <c r="G19" s="5" t="s">
        <v>715</v>
      </c>
      <c r="H19" s="7"/>
      <c r="I19" s="7"/>
      <c r="J19" s="7"/>
      <c r="K19" s="13"/>
      <c r="L19" s="12"/>
      <c r="M19" s="13"/>
    </row>
    <row r="20" spans="1:13" ht="103.95" customHeight="1" x14ac:dyDescent="0.3">
      <c r="A20" s="2" t="s">
        <v>79</v>
      </c>
      <c r="B20" s="2" t="s">
        <v>51</v>
      </c>
      <c r="C20" s="2" t="s">
        <v>80</v>
      </c>
      <c r="D20" s="2" t="s">
        <v>81</v>
      </c>
      <c r="E20" s="3" t="s">
        <v>692</v>
      </c>
      <c r="F20" s="4" t="s">
        <v>691</v>
      </c>
      <c r="G20" s="5" t="s">
        <v>715</v>
      </c>
      <c r="H20" s="7"/>
      <c r="I20" s="7"/>
      <c r="J20" s="7"/>
      <c r="K20" s="13"/>
      <c r="L20" s="12"/>
      <c r="M20" s="13"/>
    </row>
    <row r="21" spans="1:13" ht="103.95" customHeight="1" x14ac:dyDescent="0.3">
      <c r="A21" s="2" t="s">
        <v>82</v>
      </c>
      <c r="B21" s="2" t="s">
        <v>51</v>
      </c>
      <c r="C21" s="2" t="s">
        <v>83</v>
      </c>
      <c r="D21" s="2" t="s">
        <v>84</v>
      </c>
      <c r="E21" s="3" t="s">
        <v>689</v>
      </c>
      <c r="F21" s="4" t="s">
        <v>690</v>
      </c>
      <c r="G21" s="5" t="s">
        <v>715</v>
      </c>
      <c r="H21" s="7"/>
      <c r="I21" s="7"/>
      <c r="J21" s="7"/>
      <c r="K21" s="13"/>
      <c r="L21" s="12"/>
      <c r="M21" s="13"/>
    </row>
    <row r="22" spans="1:13" ht="103.95" customHeight="1" x14ac:dyDescent="0.3">
      <c r="A22" s="2" t="s">
        <v>85</v>
      </c>
      <c r="B22" s="2" t="s">
        <v>86</v>
      </c>
      <c r="C22" s="2" t="s">
        <v>87</v>
      </c>
      <c r="D22" s="2" t="s">
        <v>88</v>
      </c>
      <c r="E22" s="3" t="s">
        <v>687</v>
      </c>
      <c r="F22" s="4" t="s">
        <v>688</v>
      </c>
      <c r="G22" s="5" t="s">
        <v>712</v>
      </c>
      <c r="H22" s="7"/>
      <c r="I22" s="5"/>
      <c r="J22" s="7"/>
      <c r="K22" s="13"/>
      <c r="L22" s="12"/>
      <c r="M22" s="13"/>
    </row>
    <row r="23" spans="1:13" ht="103.95" customHeight="1" x14ac:dyDescent="0.3">
      <c r="A23" s="1" t="s">
        <v>89</v>
      </c>
      <c r="B23" s="1" t="s">
        <v>86</v>
      </c>
      <c r="C23" s="1" t="s">
        <v>90</v>
      </c>
      <c r="D23" s="2" t="s">
        <v>91</v>
      </c>
      <c r="E23" s="3" t="s">
        <v>686</v>
      </c>
      <c r="F23" s="4" t="s">
        <v>34</v>
      </c>
      <c r="G23" s="5"/>
      <c r="H23" s="6"/>
      <c r="I23" s="5"/>
      <c r="J23" s="6"/>
      <c r="K23" s="13"/>
      <c r="L23" s="12"/>
      <c r="M23" s="13"/>
    </row>
    <row r="24" spans="1:13" ht="103.95" customHeight="1" x14ac:dyDescent="0.3">
      <c r="A24" s="1" t="s">
        <v>92</v>
      </c>
      <c r="B24" s="1" t="s">
        <v>86</v>
      </c>
      <c r="C24" s="1" t="s">
        <v>93</v>
      </c>
      <c r="D24" s="2" t="s">
        <v>94</v>
      </c>
      <c r="E24" s="3" t="s">
        <v>708</v>
      </c>
      <c r="F24" s="4" t="s">
        <v>34</v>
      </c>
      <c r="G24" s="5"/>
      <c r="H24" s="6"/>
      <c r="I24" s="5"/>
      <c r="J24" s="6"/>
      <c r="K24" s="13"/>
      <c r="L24" s="12"/>
      <c r="M24" s="13"/>
    </row>
    <row r="25" spans="1:13" ht="90.6" customHeight="1" x14ac:dyDescent="0.3">
      <c r="A25" s="1" t="s">
        <v>95</v>
      </c>
      <c r="B25" s="1" t="s">
        <v>86</v>
      </c>
      <c r="C25" s="1" t="s">
        <v>96</v>
      </c>
      <c r="D25" s="2" t="s">
        <v>97</v>
      </c>
      <c r="E25" s="3" t="s">
        <v>709</v>
      </c>
      <c r="F25" s="4" t="s">
        <v>34</v>
      </c>
      <c r="G25" s="5"/>
      <c r="H25" s="6"/>
      <c r="I25" s="5"/>
      <c r="J25" s="6"/>
      <c r="K25" s="13"/>
      <c r="L25" s="12"/>
      <c r="M25" s="13"/>
    </row>
    <row r="26" spans="1:13" ht="103.95" customHeight="1" x14ac:dyDescent="0.3">
      <c r="A26" s="1" t="s">
        <v>98</v>
      </c>
      <c r="B26" s="1" t="s">
        <v>86</v>
      </c>
      <c r="C26" s="1" t="s">
        <v>99</v>
      </c>
      <c r="D26" s="1" t="s">
        <v>100</v>
      </c>
      <c r="E26" s="3" t="s">
        <v>266</v>
      </c>
      <c r="F26" s="5" t="s">
        <v>101</v>
      </c>
      <c r="G26" s="5"/>
      <c r="H26" s="6"/>
      <c r="I26" s="5"/>
      <c r="J26" s="6"/>
      <c r="K26" s="13"/>
      <c r="L26" s="12"/>
      <c r="M26" s="13"/>
    </row>
    <row r="28" spans="1:13" ht="409.6" x14ac:dyDescent="0.3">
      <c r="A28" s="50" t="s">
        <v>344</v>
      </c>
      <c r="B28" s="50" t="s">
        <v>345</v>
      </c>
      <c r="C28" s="50" t="s">
        <v>346</v>
      </c>
      <c r="D28" s="50" t="s">
        <v>347</v>
      </c>
      <c r="E28" s="3" t="s">
        <v>348</v>
      </c>
      <c r="F28" s="4" t="s">
        <v>710</v>
      </c>
      <c r="G28" s="5" t="s">
        <v>349</v>
      </c>
    </row>
    <row r="29" spans="1:13" ht="288" x14ac:dyDescent="0.3">
      <c r="A29" s="50"/>
      <c r="B29" s="50"/>
      <c r="C29" s="50" t="s">
        <v>506</v>
      </c>
      <c r="D29" s="50"/>
      <c r="E29" s="3" t="s">
        <v>510</v>
      </c>
      <c r="F29" s="4"/>
      <c r="G29" s="54"/>
    </row>
    <row r="30" spans="1:13" ht="240" x14ac:dyDescent="0.3">
      <c r="A30" s="50"/>
      <c r="B30" s="50"/>
      <c r="C30" s="50" t="s">
        <v>507</v>
      </c>
      <c r="D30" s="50"/>
      <c r="E30" s="3" t="s">
        <v>511</v>
      </c>
      <c r="F30" s="4"/>
      <c r="G30" s="54"/>
    </row>
    <row r="31" spans="1:13" ht="324" x14ac:dyDescent="0.3">
      <c r="A31" s="50"/>
      <c r="B31" s="50"/>
      <c r="C31" s="50" t="s">
        <v>508</v>
      </c>
      <c r="D31" s="50"/>
      <c r="E31" s="3" t="s">
        <v>512</v>
      </c>
      <c r="F31" s="4"/>
      <c r="G31" s="54"/>
    </row>
    <row r="32" spans="1:13" ht="312" x14ac:dyDescent="0.3">
      <c r="A32" s="50"/>
      <c r="B32" s="50"/>
      <c r="C32" s="50" t="s">
        <v>509</v>
      </c>
      <c r="D32" s="50"/>
      <c r="E32" s="3" t="s">
        <v>513</v>
      </c>
      <c r="F32" s="4"/>
      <c r="G32" s="54"/>
    </row>
    <row r="33" spans="1:13" ht="409.6" x14ac:dyDescent="0.3">
      <c r="A33" s="50" t="s">
        <v>450</v>
      </c>
      <c r="C33" s="50" t="s">
        <v>452</v>
      </c>
      <c r="D33" s="50" t="s">
        <v>453</v>
      </c>
      <c r="E33" s="4" t="s">
        <v>482</v>
      </c>
      <c r="F33" s="4" t="s">
        <v>451</v>
      </c>
    </row>
    <row r="34" spans="1:13" ht="409.6" x14ac:dyDescent="0.3">
      <c r="A34" t="s">
        <v>514</v>
      </c>
      <c r="E34" s="4" t="s">
        <v>517</v>
      </c>
      <c r="F34" s="4" t="s">
        <v>515</v>
      </c>
      <c r="G34" s="5" t="s">
        <v>516</v>
      </c>
    </row>
    <row r="35" spans="1:13" ht="409.6" x14ac:dyDescent="0.3">
      <c r="A35" t="s">
        <v>623</v>
      </c>
      <c r="E35" s="4" t="s">
        <v>676</v>
      </c>
      <c r="F35" s="4" t="s">
        <v>633</v>
      </c>
    </row>
    <row r="37" spans="1:13" x14ac:dyDescent="0.3">
      <c r="A37" s="59" t="s">
        <v>716</v>
      </c>
      <c r="B37" s="60"/>
      <c r="C37" s="60"/>
      <c r="D37" s="60"/>
      <c r="E37" s="60"/>
      <c r="F37" s="60"/>
      <c r="G37" s="60"/>
      <c r="H37" s="60"/>
      <c r="I37" s="60"/>
      <c r="J37" s="60"/>
      <c r="K37" s="60"/>
      <c r="L37" s="60"/>
      <c r="M37" s="61"/>
    </row>
    <row r="38" spans="1:13" ht="100.8" x14ac:dyDescent="0.3">
      <c r="A38" t="s">
        <v>717</v>
      </c>
      <c r="C38" s="66" t="s">
        <v>718</v>
      </c>
      <c r="D38" s="66" t="s">
        <v>719</v>
      </c>
      <c r="E38" s="66" t="s">
        <v>720</v>
      </c>
      <c r="F38" s="66" t="s">
        <v>721</v>
      </c>
    </row>
    <row r="39" spans="1:13" ht="132" x14ac:dyDescent="0.3">
      <c r="A39" s="1" t="s">
        <v>741</v>
      </c>
      <c r="B39" s="1" t="s">
        <v>742</v>
      </c>
      <c r="C39" s="1" t="s">
        <v>743</v>
      </c>
      <c r="D39" s="2" t="s">
        <v>744</v>
      </c>
      <c r="E39" s="3" t="s">
        <v>745</v>
      </c>
      <c r="F39" s="4" t="s">
        <v>34</v>
      </c>
    </row>
    <row r="40" spans="1:13" ht="180" x14ac:dyDescent="0.3">
      <c r="A40" s="1" t="s">
        <v>746</v>
      </c>
      <c r="B40" s="1" t="s">
        <v>742</v>
      </c>
      <c r="C40" s="1" t="s">
        <v>747</v>
      </c>
      <c r="D40" s="2" t="s">
        <v>744</v>
      </c>
      <c r="E40" s="3" t="s">
        <v>748</v>
      </c>
      <c r="F40" s="4" t="s">
        <v>34</v>
      </c>
    </row>
    <row r="41" spans="1:13" ht="409.6" x14ac:dyDescent="0.3">
      <c r="A41" s="2" t="s">
        <v>753</v>
      </c>
      <c r="B41" s="1" t="s">
        <v>742</v>
      </c>
      <c r="C41" s="2" t="s">
        <v>754</v>
      </c>
      <c r="D41" s="2" t="s">
        <v>755</v>
      </c>
      <c r="E41" s="3" t="s">
        <v>756</v>
      </c>
      <c r="F41" s="4" t="s">
        <v>757</v>
      </c>
      <c r="G41" s="5" t="s">
        <v>758</v>
      </c>
    </row>
    <row r="42" spans="1:13" ht="409.6" x14ac:dyDescent="0.3">
      <c r="A42" s="2" t="s">
        <v>763</v>
      </c>
      <c r="B42" s="1" t="s">
        <v>742</v>
      </c>
      <c r="C42" s="2" t="s">
        <v>764</v>
      </c>
      <c r="D42" s="2" t="s">
        <v>765</v>
      </c>
      <c r="E42" s="3" t="s">
        <v>767</v>
      </c>
      <c r="F42" s="4" t="s">
        <v>766</v>
      </c>
      <c r="G42" s="5" t="s">
        <v>768</v>
      </c>
    </row>
  </sheetData>
  <mergeCells count="4">
    <mergeCell ref="K1:M1"/>
    <mergeCell ref="A3:M3"/>
    <mergeCell ref="A7:M7"/>
    <mergeCell ref="A37:M37"/>
  </mergeCells>
  <conditionalFormatting sqref="K2:M2 K4:M6 K8:M26">
    <cfRule type="containsText" dxfId="44" priority="23" operator="containsText" text="PASS">
      <formula>NOT(ISERROR(SEARCH("PASS",K2)))</formula>
    </cfRule>
    <cfRule type="containsText" dxfId="43" priority="24" operator="containsText" text="FAIL">
      <formula>NOT(ISERROR(SEARCH("FAIL",K2)))</formula>
    </cfRule>
  </conditionalFormatting>
  <conditionalFormatting sqref="K2:M2 K4:M6 K8:M26">
    <cfRule type="containsText" dxfId="42" priority="22" operator="containsText" text="result">
      <formula>NOT(ISERROR(SEARCH("result",K2)))</formula>
    </cfRule>
  </conditionalFormatting>
  <conditionalFormatting sqref="J1 J4:J6 J8:J26">
    <cfRule type="cellIs" dxfId="41" priority="20" operator="equal">
      <formula>"Yes"</formula>
    </cfRule>
    <cfRule type="cellIs" dxfId="40" priority="21" operator="equal">
      <formula>"No"</formula>
    </cfRule>
  </conditionalFormatting>
  <conditionalFormatting sqref="H1 H4:H6 H8:H26">
    <cfRule type="cellIs" dxfId="39" priority="14" operator="equal">
      <formula>"Very Low"</formula>
    </cfRule>
    <cfRule type="cellIs" dxfId="38" priority="15" operator="equal">
      <formula>"Very High"</formula>
    </cfRule>
    <cfRule type="cellIs" dxfId="37" priority="16" operator="equal">
      <formula>"High"</formula>
    </cfRule>
    <cfRule type="cellIs" dxfId="36" priority="17" operator="equal">
      <formula>"Medium"</formula>
    </cfRule>
    <cfRule type="cellIs" dxfId="35" priority="18" operator="equal">
      <formula>"Low"</formula>
    </cfRule>
    <cfRule type="cellIs" dxfId="34" priority="19" operator="equal">
      <formula>"None"</formula>
    </cfRule>
  </conditionalFormatting>
  <conditionalFormatting sqref="M23">
    <cfRule type="containsText" dxfId="33" priority="11" operator="containsText" text="result">
      <formula>NOT(ISERROR(SEARCH("result",M23)))</formula>
    </cfRule>
  </conditionalFormatting>
  <conditionalFormatting sqref="M24">
    <cfRule type="containsText" dxfId="32" priority="10" operator="containsText" text="result">
      <formula>NOT(ISERROR(SEARCH("result",M24)))</formula>
    </cfRule>
  </conditionalFormatting>
  <conditionalFormatting sqref="M25">
    <cfRule type="containsText" dxfId="31" priority="9" operator="containsText" text="result">
      <formula>NOT(ISERROR(SEARCH("result",M25)))</formula>
    </cfRule>
  </conditionalFormatting>
  <conditionalFormatting sqref="M26">
    <cfRule type="containsText" dxfId="30" priority="8" operator="containsText" text="result">
      <formula>NOT(ISERROR(SEARCH("result",M26)))</formula>
    </cfRule>
  </conditionalFormatting>
  <conditionalFormatting sqref="L23">
    <cfRule type="containsText" dxfId="29" priority="6" operator="containsText" text="result">
      <formula>NOT(ISERROR(SEARCH("result",L23)))</formula>
    </cfRule>
  </conditionalFormatting>
  <conditionalFormatting sqref="L24">
    <cfRule type="containsText" dxfId="28" priority="5" operator="containsText" text="result">
      <formula>NOT(ISERROR(SEARCH("result",L24)))</formula>
    </cfRule>
  </conditionalFormatting>
  <conditionalFormatting sqref="L25">
    <cfRule type="containsText" dxfId="27" priority="4" operator="containsText" text="result">
      <formula>NOT(ISERROR(SEARCH("result",L25)))</formula>
    </cfRule>
  </conditionalFormatting>
  <conditionalFormatting sqref="L26">
    <cfRule type="containsText" dxfId="26" priority="3" operator="containsText" text="result">
      <formula>NOT(ISERROR(SEARCH("result",L26)))</formula>
    </cfRule>
  </conditionalFormatting>
  <conditionalFormatting sqref="M25">
    <cfRule type="containsText" dxfId="25" priority="2" operator="containsText" text="result">
      <formula>NOT(ISERROR(SEARCH("result",M25)))</formula>
    </cfRule>
  </conditionalFormatting>
  <conditionalFormatting sqref="M26">
    <cfRule type="containsText" dxfId="24" priority="1" operator="containsText" text="result">
      <formula>NOT(ISERROR(SEARCH("result",M26)))</formula>
    </cfRule>
  </conditionalFormatting>
  <dataValidations count="1">
    <dataValidation type="list" allowBlank="1" showInputMessage="1" showErrorMessage="1" sqref="L4:L6 L8:L26">
      <formula1>"Pass, Fail"</formula1>
    </dataValidation>
  </dataValidation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39997558519241921"/>
  </sheetPr>
  <dimension ref="A1:J50"/>
  <sheetViews>
    <sheetView workbookViewId="0">
      <pane xSplit="1" ySplit="2" topLeftCell="B3" activePane="bottomRight" state="frozen"/>
      <selection pane="topRight" activeCell="B1" sqref="B1"/>
      <selection pane="bottomLeft" activeCell="A3" sqref="A3"/>
      <selection pane="bottomRight" activeCell="E3" sqref="E3"/>
    </sheetView>
  </sheetViews>
  <sheetFormatPr defaultColWidth="9.109375" defaultRowHeight="12" x14ac:dyDescent="0.3"/>
  <cols>
    <col min="1" max="1" width="23.6640625" style="24" customWidth="1"/>
    <col min="2" max="2" width="26.6640625" style="24" customWidth="1"/>
    <col min="3" max="3" width="28.44140625" style="24" customWidth="1"/>
    <col min="4" max="4" width="25.44140625" style="24" customWidth="1"/>
    <col min="5" max="5" width="28.33203125" style="24" customWidth="1"/>
    <col min="6" max="6" width="10.6640625" style="24" customWidth="1"/>
    <col min="7" max="7" width="13.33203125" style="24" customWidth="1"/>
    <col min="8" max="8" width="12.33203125" style="24" customWidth="1"/>
    <col min="9" max="9" width="14.109375" style="24" customWidth="1"/>
    <col min="10" max="10" width="17.44140625" style="44" customWidth="1"/>
    <col min="11" max="16384" width="9.109375" style="24"/>
  </cols>
  <sheetData>
    <row r="1" spans="1:10" s="43" customFormat="1" ht="84" customHeight="1" x14ac:dyDescent="0.3">
      <c r="A1" s="10" t="s">
        <v>125</v>
      </c>
      <c r="B1" s="10" t="s">
        <v>126</v>
      </c>
      <c r="C1" s="10" t="s">
        <v>127</v>
      </c>
      <c r="D1" s="10" t="s">
        <v>103</v>
      </c>
      <c r="E1" s="10" t="s">
        <v>28</v>
      </c>
      <c r="F1" s="10" t="s">
        <v>128</v>
      </c>
      <c r="G1" s="10" t="s">
        <v>129</v>
      </c>
      <c r="H1" s="10" t="s">
        <v>130</v>
      </c>
      <c r="I1" s="10" t="s">
        <v>131</v>
      </c>
      <c r="J1" s="10" t="s">
        <v>28</v>
      </c>
    </row>
    <row r="2" spans="1:10" x14ac:dyDescent="0.3">
      <c r="A2" s="65" t="s">
        <v>132</v>
      </c>
      <c r="B2" s="65"/>
      <c r="C2" s="65"/>
      <c r="D2" s="65"/>
      <c r="E2" s="65"/>
      <c r="F2" s="65"/>
      <c r="G2" s="65"/>
      <c r="H2" s="65"/>
      <c r="I2" s="65"/>
    </row>
    <row r="3" spans="1:10" ht="78" customHeight="1" x14ac:dyDescent="0.3">
      <c r="A3" s="39" t="s">
        <v>133</v>
      </c>
      <c r="B3" s="25" t="s">
        <v>134</v>
      </c>
      <c r="C3" s="26" t="s">
        <v>135</v>
      </c>
      <c r="D3" s="25" t="s">
        <v>136</v>
      </c>
      <c r="E3" s="25"/>
      <c r="F3" s="25"/>
      <c r="G3" s="12"/>
      <c r="H3" s="27"/>
      <c r="I3" s="45"/>
      <c r="J3" s="1"/>
    </row>
    <row r="4" spans="1:10" ht="78" customHeight="1" x14ac:dyDescent="0.3">
      <c r="A4" s="39" t="s">
        <v>133</v>
      </c>
      <c r="B4" s="25" t="s">
        <v>134</v>
      </c>
      <c r="C4" s="26" t="s">
        <v>137</v>
      </c>
      <c r="D4" s="25" t="s">
        <v>138</v>
      </c>
      <c r="E4" s="25"/>
      <c r="F4" s="25"/>
      <c r="G4" s="12"/>
      <c r="H4" s="27"/>
      <c r="I4" s="45"/>
      <c r="J4" s="1"/>
    </row>
    <row r="5" spans="1:10" ht="78" customHeight="1" x14ac:dyDescent="0.3">
      <c r="A5" s="39" t="s">
        <v>133</v>
      </c>
      <c r="B5" s="25" t="s">
        <v>134</v>
      </c>
      <c r="C5" s="26" t="s">
        <v>139</v>
      </c>
      <c r="D5" s="25" t="s">
        <v>140</v>
      </c>
      <c r="E5" s="25"/>
      <c r="F5" s="25"/>
      <c r="G5" s="12"/>
      <c r="H5" s="27"/>
      <c r="I5" s="45"/>
      <c r="J5" s="1"/>
    </row>
    <row r="6" spans="1:10" ht="78" customHeight="1" x14ac:dyDescent="0.3">
      <c r="A6" s="39" t="s">
        <v>133</v>
      </c>
      <c r="B6" s="25" t="s">
        <v>134</v>
      </c>
      <c r="C6" s="26" t="s">
        <v>141</v>
      </c>
      <c r="D6" s="25" t="s">
        <v>142</v>
      </c>
      <c r="E6" s="25"/>
      <c r="F6" s="25"/>
      <c r="G6" s="12"/>
      <c r="H6" s="27"/>
      <c r="I6" s="45"/>
      <c r="J6" s="1"/>
    </row>
    <row r="7" spans="1:10" ht="78" customHeight="1" x14ac:dyDescent="0.3">
      <c r="A7" s="39" t="s">
        <v>133</v>
      </c>
      <c r="B7" s="25" t="s">
        <v>134</v>
      </c>
      <c r="C7" s="26" t="s">
        <v>143</v>
      </c>
      <c r="D7" s="25" t="s">
        <v>144</v>
      </c>
      <c r="E7" s="25"/>
      <c r="F7" s="25"/>
      <c r="G7" s="12"/>
      <c r="H7" s="27"/>
      <c r="I7" s="45"/>
      <c r="J7" s="1"/>
    </row>
    <row r="8" spans="1:10" ht="78" customHeight="1" x14ac:dyDescent="0.3">
      <c r="A8" s="39" t="s">
        <v>133</v>
      </c>
      <c r="B8" s="25" t="s">
        <v>134</v>
      </c>
      <c r="C8" s="26" t="s">
        <v>145</v>
      </c>
      <c r="D8" s="25" t="s">
        <v>146</v>
      </c>
      <c r="E8" s="25"/>
      <c r="F8" s="25"/>
      <c r="G8" s="12"/>
      <c r="H8" s="27"/>
      <c r="I8" s="45"/>
      <c r="J8" s="1"/>
    </row>
    <row r="9" spans="1:10" ht="78" customHeight="1" x14ac:dyDescent="0.3">
      <c r="A9" s="39" t="s">
        <v>133</v>
      </c>
      <c r="B9" s="25" t="s">
        <v>134</v>
      </c>
      <c r="C9" s="26" t="s">
        <v>147</v>
      </c>
      <c r="D9" s="25" t="s">
        <v>148</v>
      </c>
      <c r="E9" s="25"/>
      <c r="F9" s="25"/>
      <c r="G9" s="12"/>
      <c r="H9" s="27"/>
      <c r="I9" s="45"/>
      <c r="J9" s="1"/>
    </row>
    <row r="10" spans="1:10" ht="78" customHeight="1" x14ac:dyDescent="0.3">
      <c r="A10" s="39" t="s">
        <v>133</v>
      </c>
      <c r="B10" s="25" t="s">
        <v>134</v>
      </c>
      <c r="C10" s="26" t="s">
        <v>149</v>
      </c>
      <c r="D10" s="25" t="s">
        <v>150</v>
      </c>
      <c r="E10" s="25"/>
      <c r="F10" s="25"/>
      <c r="G10" s="12"/>
      <c r="H10" s="27"/>
      <c r="I10" s="45"/>
      <c r="J10" s="1"/>
    </row>
    <row r="11" spans="1:10" ht="142.19999999999999" customHeight="1" x14ac:dyDescent="0.3">
      <c r="A11" s="39" t="s">
        <v>133</v>
      </c>
      <c r="B11" s="25" t="s">
        <v>134</v>
      </c>
      <c r="C11" s="26" t="s">
        <v>151</v>
      </c>
      <c r="D11" s="25" t="s">
        <v>152</v>
      </c>
      <c r="E11" s="25"/>
      <c r="F11" s="25"/>
      <c r="G11" s="12"/>
      <c r="H11" s="27"/>
      <c r="I11" s="45"/>
      <c r="J11" s="1"/>
    </row>
    <row r="12" spans="1:10" ht="78" customHeight="1" x14ac:dyDescent="0.3">
      <c r="A12" s="39" t="s">
        <v>133</v>
      </c>
      <c r="B12" s="25" t="s">
        <v>134</v>
      </c>
      <c r="C12" s="26" t="s">
        <v>153</v>
      </c>
      <c r="D12" s="25" t="s">
        <v>154</v>
      </c>
      <c r="E12" s="25"/>
      <c r="F12" s="25"/>
      <c r="G12" s="12"/>
      <c r="H12" s="27"/>
      <c r="I12" s="45"/>
      <c r="J12" s="1"/>
    </row>
    <row r="13" spans="1:10" ht="78" customHeight="1" x14ac:dyDescent="0.3">
      <c r="A13" s="39" t="s">
        <v>133</v>
      </c>
      <c r="B13" s="25" t="s">
        <v>134</v>
      </c>
      <c r="C13" s="26" t="s">
        <v>155</v>
      </c>
      <c r="D13" s="25" t="s">
        <v>156</v>
      </c>
      <c r="E13" s="25"/>
      <c r="F13" s="25"/>
      <c r="G13" s="12"/>
      <c r="H13" s="27"/>
      <c r="I13" s="45"/>
      <c r="J13" s="1"/>
    </row>
    <row r="14" spans="1:10" ht="78" customHeight="1" x14ac:dyDescent="0.3">
      <c r="A14" s="25" t="s">
        <v>157</v>
      </c>
      <c r="B14" s="25" t="s">
        <v>158</v>
      </c>
      <c r="C14" s="26"/>
      <c r="D14" s="25" t="s">
        <v>159</v>
      </c>
      <c r="E14" s="25"/>
      <c r="F14" s="25"/>
      <c r="G14" s="12"/>
      <c r="H14" s="27"/>
      <c r="I14" s="45"/>
      <c r="J14" s="1"/>
    </row>
    <row r="15" spans="1:10" ht="78" customHeight="1" x14ac:dyDescent="0.3">
      <c r="A15" s="25" t="s">
        <v>160</v>
      </c>
      <c r="B15" s="25" t="s">
        <v>161</v>
      </c>
      <c r="C15" s="26" t="s">
        <v>162</v>
      </c>
      <c r="D15" s="25" t="s">
        <v>163</v>
      </c>
      <c r="E15" s="25"/>
      <c r="F15" s="25"/>
      <c r="G15" s="12"/>
      <c r="H15" s="27"/>
      <c r="I15" s="45"/>
      <c r="J15" s="1"/>
    </row>
    <row r="16" spans="1:10" ht="78" customHeight="1" x14ac:dyDescent="0.3">
      <c r="A16" s="25" t="s">
        <v>160</v>
      </c>
      <c r="B16" s="25" t="s">
        <v>161</v>
      </c>
      <c r="C16" s="26" t="s">
        <v>164</v>
      </c>
      <c r="D16" s="25" t="s">
        <v>165</v>
      </c>
      <c r="E16" s="25"/>
      <c r="F16" s="25"/>
      <c r="G16" s="12"/>
      <c r="H16" s="27"/>
      <c r="I16" s="45"/>
      <c r="J16" s="1"/>
    </row>
    <row r="17" spans="1:10" ht="65.25" customHeight="1" x14ac:dyDescent="0.3">
      <c r="A17" s="40" t="s">
        <v>166</v>
      </c>
      <c r="B17" s="25" t="s">
        <v>167</v>
      </c>
      <c r="C17" s="28" t="s">
        <v>168</v>
      </c>
      <c r="D17" s="25" t="s">
        <v>169</v>
      </c>
      <c r="E17" s="25"/>
      <c r="F17" s="25"/>
      <c r="G17" s="12"/>
      <c r="H17" s="27"/>
      <c r="I17" s="45"/>
      <c r="J17" s="1"/>
    </row>
    <row r="18" spans="1:10" ht="61.5" customHeight="1" x14ac:dyDescent="0.3">
      <c r="A18" s="40" t="s">
        <v>166</v>
      </c>
      <c r="B18" s="25" t="s">
        <v>167</v>
      </c>
      <c r="C18" s="28" t="s">
        <v>170</v>
      </c>
      <c r="D18" s="25" t="s">
        <v>171</v>
      </c>
      <c r="E18" s="25"/>
      <c r="F18" s="25"/>
      <c r="G18" s="12"/>
      <c r="H18" s="27"/>
      <c r="I18" s="45"/>
      <c r="J18" s="1"/>
    </row>
    <row r="19" spans="1:10" ht="63" customHeight="1" x14ac:dyDescent="0.3">
      <c r="A19" s="40" t="s">
        <v>166</v>
      </c>
      <c r="B19" s="25" t="s">
        <v>167</v>
      </c>
      <c r="C19" s="25" t="s">
        <v>172</v>
      </c>
      <c r="D19" s="25" t="s">
        <v>173</v>
      </c>
      <c r="E19" s="25"/>
      <c r="F19" s="25"/>
      <c r="G19" s="12"/>
      <c r="H19" s="27"/>
      <c r="I19" s="45"/>
      <c r="J19" s="1"/>
    </row>
    <row r="20" spans="1:10" ht="76.95" customHeight="1" x14ac:dyDescent="0.3">
      <c r="A20" s="40" t="s">
        <v>166</v>
      </c>
      <c r="B20" s="25" t="s">
        <v>167</v>
      </c>
      <c r="C20" s="25" t="s">
        <v>174</v>
      </c>
      <c r="D20" s="25" t="s">
        <v>175</v>
      </c>
      <c r="E20" s="25"/>
      <c r="F20" s="25"/>
      <c r="G20" s="12"/>
      <c r="H20" s="27"/>
      <c r="I20" s="45"/>
      <c r="J20" s="1"/>
    </row>
    <row r="21" spans="1:10" ht="74.25" customHeight="1" x14ac:dyDescent="0.3">
      <c r="A21" s="41" t="s">
        <v>176</v>
      </c>
      <c r="B21" s="25" t="s">
        <v>177</v>
      </c>
      <c r="C21" s="26" t="s">
        <v>135</v>
      </c>
      <c r="D21" s="25" t="s">
        <v>178</v>
      </c>
      <c r="E21" s="25"/>
      <c r="F21" s="25"/>
      <c r="G21" s="12"/>
      <c r="H21" s="27"/>
      <c r="I21" s="45"/>
      <c r="J21" s="1"/>
    </row>
    <row r="22" spans="1:10" ht="73.5" customHeight="1" x14ac:dyDescent="0.3">
      <c r="A22" s="41" t="s">
        <v>176</v>
      </c>
      <c r="B22" s="25" t="s">
        <v>177</v>
      </c>
      <c r="C22" s="26" t="s">
        <v>137</v>
      </c>
      <c r="D22" s="25" t="s">
        <v>179</v>
      </c>
      <c r="E22" s="25"/>
      <c r="F22" s="25"/>
      <c r="G22" s="12"/>
      <c r="H22" s="27"/>
      <c r="I22" s="45"/>
      <c r="J22" s="1"/>
    </row>
    <row r="23" spans="1:10" ht="75.75" customHeight="1" x14ac:dyDescent="0.3">
      <c r="A23" s="41" t="s">
        <v>176</v>
      </c>
      <c r="B23" s="25" t="s">
        <v>177</v>
      </c>
      <c r="C23" s="26" t="s">
        <v>139</v>
      </c>
      <c r="D23" s="25" t="s">
        <v>180</v>
      </c>
      <c r="E23" s="25"/>
      <c r="F23" s="25"/>
      <c r="G23" s="12"/>
      <c r="H23" s="27"/>
      <c r="I23" s="45"/>
      <c r="J23" s="1"/>
    </row>
    <row r="24" spans="1:10" ht="75.75" customHeight="1" x14ac:dyDescent="0.3">
      <c r="A24" s="41" t="s">
        <v>176</v>
      </c>
      <c r="B24" s="25" t="s">
        <v>177</v>
      </c>
      <c r="C24" s="26" t="s">
        <v>141</v>
      </c>
      <c r="D24" s="25" t="s">
        <v>181</v>
      </c>
      <c r="E24" s="25"/>
      <c r="F24" s="25"/>
      <c r="G24" s="12"/>
      <c r="H24" s="27"/>
      <c r="I24" s="45"/>
      <c r="J24" s="1"/>
    </row>
    <row r="25" spans="1:10" ht="75.75" customHeight="1" x14ac:dyDescent="0.3">
      <c r="A25" s="41" t="s">
        <v>176</v>
      </c>
      <c r="B25" s="25" t="s">
        <v>177</v>
      </c>
      <c r="C25" s="26" t="s">
        <v>143</v>
      </c>
      <c r="D25" s="25" t="s">
        <v>182</v>
      </c>
      <c r="E25" s="25"/>
      <c r="F25" s="25"/>
      <c r="G25" s="12"/>
      <c r="H25" s="27"/>
      <c r="I25" s="45"/>
      <c r="J25" s="1"/>
    </row>
    <row r="26" spans="1:10" ht="76.5" customHeight="1" x14ac:dyDescent="0.3">
      <c r="A26" s="41" t="s">
        <v>176</v>
      </c>
      <c r="B26" s="25" t="s">
        <v>177</v>
      </c>
      <c r="C26" s="26" t="s">
        <v>145</v>
      </c>
      <c r="D26" s="25" t="s">
        <v>183</v>
      </c>
      <c r="E26" s="25" t="s">
        <v>184</v>
      </c>
      <c r="F26" s="25"/>
      <c r="G26" s="12"/>
      <c r="H26" s="27"/>
      <c r="I26" s="45"/>
      <c r="J26" s="1"/>
    </row>
    <row r="27" spans="1:10" ht="75" customHeight="1" x14ac:dyDescent="0.3">
      <c r="A27" s="41" t="s">
        <v>176</v>
      </c>
      <c r="B27" s="25" t="s">
        <v>177</v>
      </c>
      <c r="C27" s="26" t="s">
        <v>147</v>
      </c>
      <c r="D27" s="25" t="s">
        <v>185</v>
      </c>
      <c r="E27" s="25"/>
      <c r="F27" s="25"/>
      <c r="G27" s="12"/>
      <c r="H27" s="27"/>
      <c r="I27" s="45"/>
      <c r="J27" s="1"/>
    </row>
    <row r="28" spans="1:10" ht="75" customHeight="1" x14ac:dyDescent="0.3">
      <c r="A28" s="41" t="s">
        <v>176</v>
      </c>
      <c r="B28" s="25" t="s">
        <v>177</v>
      </c>
      <c r="C28" s="26" t="s">
        <v>149</v>
      </c>
      <c r="D28" s="25" t="s">
        <v>186</v>
      </c>
      <c r="E28" s="25"/>
      <c r="F28" s="25"/>
      <c r="G28" s="12"/>
      <c r="H28" s="27"/>
      <c r="I28" s="45"/>
      <c r="J28" s="1"/>
    </row>
    <row r="29" spans="1:10" ht="77.25" customHeight="1" x14ac:dyDescent="0.3">
      <c r="A29" s="41" t="s">
        <v>176</v>
      </c>
      <c r="B29" s="25" t="s">
        <v>177</v>
      </c>
      <c r="C29" s="26" t="s">
        <v>151</v>
      </c>
      <c r="D29" s="25" t="s">
        <v>187</v>
      </c>
      <c r="E29" s="25"/>
      <c r="F29" s="25"/>
      <c r="G29" s="12"/>
      <c r="H29" s="27"/>
      <c r="I29" s="45"/>
      <c r="J29" s="1"/>
    </row>
    <row r="30" spans="1:10" ht="76.5" customHeight="1" x14ac:dyDescent="0.3">
      <c r="A30" s="41" t="s">
        <v>176</v>
      </c>
      <c r="B30" s="25" t="s">
        <v>177</v>
      </c>
      <c r="C30" s="26" t="s">
        <v>153</v>
      </c>
      <c r="D30" s="25" t="s">
        <v>188</v>
      </c>
      <c r="E30" s="25"/>
      <c r="F30" s="25"/>
      <c r="G30" s="12"/>
      <c r="H30" s="27"/>
      <c r="I30" s="45"/>
      <c r="J30" s="1"/>
    </row>
    <row r="31" spans="1:10" ht="75" customHeight="1" x14ac:dyDescent="0.3">
      <c r="A31" s="41" t="s">
        <v>176</v>
      </c>
      <c r="B31" s="25" t="s">
        <v>177</v>
      </c>
      <c r="C31" s="26" t="s">
        <v>155</v>
      </c>
      <c r="D31" s="25" t="s">
        <v>189</v>
      </c>
      <c r="E31" s="25"/>
      <c r="F31" s="25"/>
      <c r="G31" s="12"/>
      <c r="H31" s="27"/>
      <c r="I31" s="45"/>
      <c r="J31" s="1"/>
    </row>
    <row r="32" spans="1:10" ht="94.5" customHeight="1" x14ac:dyDescent="0.3">
      <c r="A32" s="42" t="s">
        <v>190</v>
      </c>
      <c r="B32" s="25" t="s">
        <v>191</v>
      </c>
      <c r="C32" s="28" t="s">
        <v>168</v>
      </c>
      <c r="D32" s="25" t="s">
        <v>192</v>
      </c>
      <c r="E32" s="25"/>
      <c r="F32" s="25"/>
      <c r="G32" s="12"/>
      <c r="H32" s="27"/>
      <c r="I32" s="45"/>
      <c r="J32" s="1"/>
    </row>
    <row r="33" spans="1:10" ht="90.75" customHeight="1" x14ac:dyDescent="0.3">
      <c r="A33" s="42" t="s">
        <v>190</v>
      </c>
      <c r="B33" s="25" t="s">
        <v>191</v>
      </c>
      <c r="C33" s="28" t="s">
        <v>170</v>
      </c>
      <c r="D33" s="25" t="s">
        <v>193</v>
      </c>
      <c r="E33" s="25"/>
      <c r="F33" s="25"/>
      <c r="G33" s="12"/>
      <c r="H33" s="27"/>
      <c r="I33" s="45"/>
      <c r="J33" s="1"/>
    </row>
    <row r="34" spans="1:10" ht="91.5" customHeight="1" x14ac:dyDescent="0.3">
      <c r="A34" s="42" t="s">
        <v>190</v>
      </c>
      <c r="B34" s="25" t="s">
        <v>191</v>
      </c>
      <c r="C34" s="25" t="s">
        <v>172</v>
      </c>
      <c r="D34" s="25" t="s">
        <v>194</v>
      </c>
      <c r="E34" s="25"/>
      <c r="F34" s="25"/>
      <c r="G34" s="12"/>
      <c r="H34" s="27"/>
      <c r="I34" s="45"/>
      <c r="J34" s="1"/>
    </row>
    <row r="35" spans="1:10" ht="87" customHeight="1" x14ac:dyDescent="0.3">
      <c r="A35" s="42" t="s">
        <v>190</v>
      </c>
      <c r="B35" s="25" t="s">
        <v>191</v>
      </c>
      <c r="C35" s="25" t="s">
        <v>174</v>
      </c>
      <c r="D35" s="25" t="s">
        <v>195</v>
      </c>
      <c r="E35" s="25"/>
      <c r="F35" s="25"/>
      <c r="G35" s="12"/>
      <c r="H35" s="27"/>
      <c r="I35" s="45"/>
      <c r="J35" s="1"/>
    </row>
    <row r="36" spans="1:10" x14ac:dyDescent="0.3">
      <c r="A36" s="65" t="s">
        <v>196</v>
      </c>
      <c r="B36" s="65"/>
      <c r="C36" s="65"/>
      <c r="D36" s="65"/>
      <c r="E36" s="65"/>
      <c r="F36" s="65"/>
      <c r="G36" s="65"/>
      <c r="H36" s="65"/>
      <c r="I36" s="65"/>
      <c r="J36" s="1"/>
    </row>
    <row r="37" spans="1:10" ht="64.5" customHeight="1" x14ac:dyDescent="0.3">
      <c r="A37" s="39" t="s">
        <v>197</v>
      </c>
      <c r="B37" s="25" t="s">
        <v>198</v>
      </c>
      <c r="C37" s="26" t="s">
        <v>199</v>
      </c>
      <c r="D37" s="25" t="s">
        <v>200</v>
      </c>
      <c r="E37" s="25"/>
      <c r="F37" s="25"/>
      <c r="G37" s="12"/>
      <c r="H37" s="27"/>
      <c r="I37" s="45"/>
      <c r="J37" s="1"/>
    </row>
    <row r="38" spans="1:10" ht="67.5" customHeight="1" x14ac:dyDescent="0.3">
      <c r="A38" s="39" t="s">
        <v>197</v>
      </c>
      <c r="B38" s="25" t="s">
        <v>198</v>
      </c>
      <c r="C38" s="26" t="s">
        <v>201</v>
      </c>
      <c r="D38" s="25" t="s">
        <v>202</v>
      </c>
      <c r="E38" s="25"/>
      <c r="F38" s="25"/>
      <c r="G38" s="12"/>
      <c r="H38" s="27"/>
      <c r="I38" s="45"/>
      <c r="J38" s="1"/>
    </row>
    <row r="39" spans="1:10" ht="67.5" customHeight="1" x14ac:dyDescent="0.3">
      <c r="A39" s="39" t="s">
        <v>197</v>
      </c>
      <c r="B39" s="25" t="s">
        <v>198</v>
      </c>
      <c r="C39" s="26" t="s">
        <v>203</v>
      </c>
      <c r="D39" s="25" t="s">
        <v>204</v>
      </c>
      <c r="E39" s="25"/>
      <c r="F39" s="25"/>
      <c r="G39" s="12"/>
      <c r="H39" s="27"/>
      <c r="I39" s="45"/>
      <c r="J39" s="1"/>
    </row>
    <row r="40" spans="1:10" ht="63" customHeight="1" x14ac:dyDescent="0.3">
      <c r="A40" s="39" t="s">
        <v>197</v>
      </c>
      <c r="B40" s="25" t="s">
        <v>198</v>
      </c>
      <c r="C40" s="26" t="s">
        <v>205</v>
      </c>
      <c r="D40" s="25" t="s">
        <v>206</v>
      </c>
      <c r="E40" s="25"/>
      <c r="F40" s="25"/>
      <c r="G40" s="12"/>
      <c r="H40" s="27"/>
      <c r="I40" s="45"/>
      <c r="J40" s="1"/>
    </row>
    <row r="41" spans="1:10" ht="90.6" customHeight="1" x14ac:dyDescent="0.3">
      <c r="A41" s="39" t="s">
        <v>197</v>
      </c>
      <c r="B41" s="25" t="s">
        <v>207</v>
      </c>
      <c r="C41" s="26" t="s">
        <v>208</v>
      </c>
      <c r="D41" s="25" t="s">
        <v>209</v>
      </c>
      <c r="E41" s="25"/>
      <c r="F41" s="25"/>
      <c r="G41" s="12"/>
      <c r="H41" s="27"/>
      <c r="I41" s="45"/>
      <c r="J41" s="1"/>
    </row>
    <row r="42" spans="1:10" ht="66.75" customHeight="1" x14ac:dyDescent="0.3">
      <c r="A42" s="39" t="s">
        <v>197</v>
      </c>
      <c r="B42" s="25" t="s">
        <v>207</v>
      </c>
      <c r="C42" s="26" t="s">
        <v>210</v>
      </c>
      <c r="D42" s="25" t="s">
        <v>211</v>
      </c>
      <c r="E42" s="25"/>
      <c r="F42" s="25"/>
      <c r="G42" s="12"/>
      <c r="H42" s="27"/>
      <c r="I42" s="45"/>
      <c r="J42" s="1"/>
    </row>
    <row r="43" spans="1:10" ht="53.25" customHeight="1" x14ac:dyDescent="0.3">
      <c r="A43" s="39" t="s">
        <v>197</v>
      </c>
      <c r="B43" s="25" t="s">
        <v>207</v>
      </c>
      <c r="C43" s="26" t="s">
        <v>212</v>
      </c>
      <c r="D43" s="25" t="s">
        <v>213</v>
      </c>
      <c r="E43" s="25"/>
      <c r="F43" s="25"/>
      <c r="G43" s="12"/>
      <c r="H43" s="27"/>
      <c r="I43" s="45"/>
      <c r="J43" s="1"/>
    </row>
    <row r="44" spans="1:10" ht="57.75" customHeight="1" x14ac:dyDescent="0.3">
      <c r="A44" s="39" t="s">
        <v>197</v>
      </c>
      <c r="B44" s="25" t="s">
        <v>207</v>
      </c>
      <c r="C44" s="26" t="s">
        <v>214</v>
      </c>
      <c r="D44" s="25" t="s">
        <v>215</v>
      </c>
      <c r="E44" s="25"/>
      <c r="F44" s="25"/>
      <c r="G44" s="12"/>
      <c r="H44" s="27"/>
      <c r="I44" s="45"/>
      <c r="J44" s="1"/>
    </row>
    <row r="45" spans="1:10" ht="48" x14ac:dyDescent="0.3">
      <c r="A45" s="38" t="s">
        <v>216</v>
      </c>
      <c r="B45" s="25" t="s">
        <v>217</v>
      </c>
      <c r="C45" s="26" t="s">
        <v>218</v>
      </c>
      <c r="D45" s="25"/>
      <c r="E45" s="25"/>
      <c r="F45" s="25"/>
      <c r="G45" s="12"/>
      <c r="H45" s="27"/>
      <c r="I45" s="45"/>
      <c r="J45" s="1"/>
    </row>
    <row r="46" spans="1:10" ht="60" x14ac:dyDescent="0.3">
      <c r="A46" s="38" t="s">
        <v>216</v>
      </c>
      <c r="B46" s="25" t="s">
        <v>217</v>
      </c>
      <c r="C46" s="26" t="s">
        <v>219</v>
      </c>
      <c r="D46" s="25"/>
      <c r="E46" s="25"/>
      <c r="F46" s="25"/>
      <c r="G46" s="12"/>
      <c r="H46" s="27"/>
      <c r="I46" s="45"/>
      <c r="J46" s="1"/>
    </row>
    <row r="47" spans="1:10" ht="48" x14ac:dyDescent="0.3">
      <c r="A47" s="38" t="s">
        <v>216</v>
      </c>
      <c r="B47" s="25" t="s">
        <v>217</v>
      </c>
      <c r="C47" s="26" t="s">
        <v>220</v>
      </c>
      <c r="D47" s="25"/>
      <c r="E47" s="25"/>
      <c r="F47" s="25"/>
      <c r="G47" s="12"/>
      <c r="H47" s="27"/>
      <c r="I47" s="45"/>
      <c r="J47" s="1"/>
    </row>
    <row r="48" spans="1:10" ht="48" x14ac:dyDescent="0.3">
      <c r="A48" s="38" t="s">
        <v>216</v>
      </c>
      <c r="B48" s="25" t="s">
        <v>217</v>
      </c>
      <c r="C48" s="26" t="s">
        <v>221</v>
      </c>
      <c r="D48" s="25"/>
      <c r="E48" s="25"/>
      <c r="F48" s="25"/>
      <c r="G48" s="12"/>
      <c r="H48" s="27"/>
      <c r="I48" s="45"/>
      <c r="J48" s="1"/>
    </row>
    <row r="49" spans="1:10" ht="65.25" customHeight="1" x14ac:dyDescent="0.3">
      <c r="A49" s="25" t="s">
        <v>222</v>
      </c>
      <c r="B49" s="25" t="s">
        <v>223</v>
      </c>
      <c r="C49" s="25" t="s">
        <v>224</v>
      </c>
      <c r="D49" s="25" t="s">
        <v>225</v>
      </c>
      <c r="E49" s="25"/>
      <c r="F49" s="25"/>
      <c r="G49" s="12"/>
      <c r="H49" s="27"/>
      <c r="I49" s="45"/>
      <c r="J49" s="1"/>
    </row>
    <row r="50" spans="1:10" ht="62.25" customHeight="1" x14ac:dyDescent="0.3">
      <c r="A50" s="25" t="s">
        <v>222</v>
      </c>
      <c r="B50" s="25" t="s">
        <v>223</v>
      </c>
      <c r="C50" s="25" t="s">
        <v>226</v>
      </c>
      <c r="D50" s="25" t="s">
        <v>227</v>
      </c>
      <c r="E50" s="25"/>
      <c r="F50" s="25"/>
      <c r="G50" s="12"/>
      <c r="H50" s="27"/>
      <c r="I50" s="45"/>
      <c r="J50" s="1"/>
    </row>
  </sheetData>
  <mergeCells count="2">
    <mergeCell ref="A2:I2"/>
    <mergeCell ref="A36:I36"/>
  </mergeCells>
  <conditionalFormatting sqref="G1 I1:J1">
    <cfRule type="containsText" dxfId="23" priority="17" operator="containsText" text="PASS">
      <formula>NOT(ISERROR(SEARCH("PASS",G1)))</formula>
    </cfRule>
    <cfRule type="containsText" dxfId="22" priority="18" operator="containsText" text="FAIL">
      <formula>NOT(ISERROR(SEARCH("FAIL",G1)))</formula>
    </cfRule>
  </conditionalFormatting>
  <conditionalFormatting sqref="G1 I1:J1">
    <cfRule type="containsText" dxfId="21" priority="16" operator="containsText" text="result">
      <formula>NOT(ISERROR(SEARCH("result",G1)))</formula>
    </cfRule>
  </conditionalFormatting>
  <conditionalFormatting sqref="I3:I15 I17:I35">
    <cfRule type="containsText" dxfId="20" priority="14" operator="containsText" text="PASS">
      <formula>NOT(ISERROR(SEARCH("PASS",I3)))</formula>
    </cfRule>
    <cfRule type="containsText" dxfId="19" priority="15" operator="containsText" text="FAIL">
      <formula>NOT(ISERROR(SEARCH("FAIL",I3)))</formula>
    </cfRule>
  </conditionalFormatting>
  <conditionalFormatting sqref="I3:I15 I17:I35">
    <cfRule type="containsText" dxfId="18" priority="13" operator="containsText" text="result">
      <formula>NOT(ISERROR(SEARCH("result",I3)))</formula>
    </cfRule>
  </conditionalFormatting>
  <conditionalFormatting sqref="I37:I50">
    <cfRule type="containsText" dxfId="17" priority="11" operator="containsText" text="PASS">
      <formula>NOT(ISERROR(SEARCH("PASS",I37)))</formula>
    </cfRule>
    <cfRule type="containsText" dxfId="16" priority="12" operator="containsText" text="FAIL">
      <formula>NOT(ISERROR(SEARCH("FAIL",I37)))</formula>
    </cfRule>
  </conditionalFormatting>
  <conditionalFormatting sqref="I37:I50">
    <cfRule type="containsText" dxfId="15" priority="10" operator="containsText" text="result">
      <formula>NOT(ISERROR(SEARCH("result",I37)))</formula>
    </cfRule>
  </conditionalFormatting>
  <conditionalFormatting sqref="G3:G35">
    <cfRule type="containsText" dxfId="14" priority="8" operator="containsText" text="PASS">
      <formula>NOT(ISERROR(SEARCH("PASS",G3)))</formula>
    </cfRule>
    <cfRule type="containsText" dxfId="13" priority="9" operator="containsText" text="FAIL">
      <formula>NOT(ISERROR(SEARCH("FAIL",G3)))</formula>
    </cfRule>
  </conditionalFormatting>
  <conditionalFormatting sqref="G3:G35">
    <cfRule type="containsText" dxfId="12" priority="7" operator="containsText" text="result">
      <formula>NOT(ISERROR(SEARCH("result",G3)))</formula>
    </cfRule>
  </conditionalFormatting>
  <conditionalFormatting sqref="G37:G50">
    <cfRule type="containsText" dxfId="11" priority="5" operator="containsText" text="PASS">
      <formula>NOT(ISERROR(SEARCH("PASS",G37)))</formula>
    </cfRule>
    <cfRule type="containsText" dxfId="10" priority="6" operator="containsText" text="FAIL">
      <formula>NOT(ISERROR(SEARCH("FAIL",G37)))</formula>
    </cfRule>
  </conditionalFormatting>
  <conditionalFormatting sqref="G37:G50">
    <cfRule type="containsText" dxfId="9" priority="4" operator="containsText" text="result">
      <formula>NOT(ISERROR(SEARCH("result",G37)))</formula>
    </cfRule>
  </conditionalFormatting>
  <conditionalFormatting sqref="I16">
    <cfRule type="containsText" dxfId="8" priority="2" operator="containsText" text="PASS">
      <formula>NOT(ISERROR(SEARCH("PASS",I16)))</formula>
    </cfRule>
    <cfRule type="containsText" dxfId="7" priority="3" operator="containsText" text="FAIL">
      <formula>NOT(ISERROR(SEARCH("FAIL",I16)))</formula>
    </cfRule>
  </conditionalFormatting>
  <conditionalFormatting sqref="I16">
    <cfRule type="containsText" dxfId="6" priority="1" operator="containsText" text="result">
      <formula>NOT(ISERROR(SEARCH("result",I16)))</formula>
    </cfRule>
  </conditionalFormatting>
  <dataValidations count="1">
    <dataValidation type="list" allowBlank="1" showInputMessage="1" showErrorMessage="1" sqref="G37:G50 I37:I50 G3:G35 I3:I35">
      <formula1>"Pass, Fail"</formula1>
    </dataValidation>
  </dataValidations>
  <pageMargins left="0.7" right="0.7" top="0.75" bottom="0.75" header="0.3" footer="0.3"/>
  <pageSetup orientation="portrait" horizontalDpi="100" verticalDpi="1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59999389629810485"/>
  </sheetPr>
  <dimension ref="A1:L57"/>
  <sheetViews>
    <sheetView topLeftCell="A42" workbookViewId="0">
      <selection activeCell="A17" sqref="A17:A57"/>
    </sheetView>
  </sheetViews>
  <sheetFormatPr defaultRowHeight="14.4" x14ac:dyDescent="0.3"/>
  <cols>
    <col min="1" max="1" width="9.109375" bestFit="1" customWidth="1"/>
    <col min="2" max="2" width="12.109375" bestFit="1" customWidth="1"/>
    <col min="3" max="3" width="24.6640625" bestFit="1" customWidth="1"/>
    <col min="4" max="4" width="16.109375" style="46" customWidth="1"/>
    <col min="5" max="5" width="6.109375" customWidth="1"/>
    <col min="6" max="6" width="13.44140625" style="20" bestFit="1" customWidth="1"/>
    <col min="7" max="7" width="24.6640625" style="20" bestFit="1" customWidth="1"/>
    <col min="8" max="8" width="25.109375" style="20" bestFit="1" customWidth="1"/>
    <col min="9" max="9" width="5.5546875" style="20" bestFit="1" customWidth="1"/>
    <col min="10" max="10" width="6.109375" customWidth="1"/>
    <col min="11" max="11" width="15.6640625" bestFit="1" customWidth="1"/>
    <col min="12" max="12" width="13.88671875" bestFit="1" customWidth="1"/>
  </cols>
  <sheetData>
    <row r="1" spans="1:12" x14ac:dyDescent="0.3">
      <c r="A1" t="s">
        <v>0</v>
      </c>
      <c r="B1" t="s">
        <v>1</v>
      </c>
      <c r="C1" t="s">
        <v>2</v>
      </c>
      <c r="D1" s="46" t="s">
        <v>3</v>
      </c>
      <c r="F1" s="20" t="s">
        <v>110</v>
      </c>
      <c r="G1" s="20" t="s">
        <v>111</v>
      </c>
      <c r="H1" s="20" t="s">
        <v>112</v>
      </c>
      <c r="I1" s="20" t="s">
        <v>113</v>
      </c>
      <c r="K1" s="21" t="s">
        <v>110</v>
      </c>
      <c r="L1" s="21" t="s">
        <v>111</v>
      </c>
    </row>
    <row r="2" spans="1:12" x14ac:dyDescent="0.3">
      <c r="A2" t="s">
        <v>4</v>
      </c>
      <c r="B2">
        <v>6106</v>
      </c>
      <c r="C2" t="s">
        <v>268</v>
      </c>
      <c r="D2" s="46">
        <v>42711.802578356481</v>
      </c>
      <c r="F2" s="20">
        <v>6106</v>
      </c>
      <c r="G2" s="20" t="s">
        <v>268</v>
      </c>
      <c r="H2" s="20" t="s">
        <v>109</v>
      </c>
      <c r="I2" s="20">
        <v>6106</v>
      </c>
      <c r="K2" t="b">
        <f>F2=Table_ExternalData_1[[#This Row],[CallTypeID]]</f>
        <v>1</v>
      </c>
      <c r="L2" t="b">
        <f>G2=Table_ExternalData_1[[#This Row],[EnterpriseName]]</f>
        <v>1</v>
      </c>
    </row>
    <row r="3" spans="1:12" x14ac:dyDescent="0.3">
      <c r="A3" t="s">
        <v>4</v>
      </c>
      <c r="B3">
        <v>6107</v>
      </c>
      <c r="C3" t="s">
        <v>269</v>
      </c>
      <c r="D3" s="46">
        <v>42711.802578356481</v>
      </c>
      <c r="F3" s="20">
        <v>6107</v>
      </c>
      <c r="G3" s="20" t="s">
        <v>269</v>
      </c>
      <c r="H3" s="20" t="s">
        <v>109</v>
      </c>
      <c r="I3" s="20">
        <v>6107</v>
      </c>
      <c r="K3" t="b">
        <f>F3=Table_ExternalData_1[[#This Row],[CallTypeID]]</f>
        <v>1</v>
      </c>
      <c r="L3" t="b">
        <f>G3=Table_ExternalData_1[[#This Row],[EnterpriseName]]</f>
        <v>1</v>
      </c>
    </row>
    <row r="4" spans="1:12" x14ac:dyDescent="0.3">
      <c r="A4" t="s">
        <v>4</v>
      </c>
      <c r="B4">
        <v>6108</v>
      </c>
      <c r="C4" t="s">
        <v>253</v>
      </c>
      <c r="D4" s="46">
        <v>42783.491885104166</v>
      </c>
      <c r="F4" s="20">
        <v>6108</v>
      </c>
      <c r="G4" s="20" t="s">
        <v>253</v>
      </c>
      <c r="H4" s="20" t="s">
        <v>109</v>
      </c>
      <c r="I4" s="20">
        <v>6108</v>
      </c>
      <c r="K4" t="b">
        <f>F4=Table_ExternalData_1[[#This Row],[CallTypeID]]</f>
        <v>1</v>
      </c>
      <c r="L4" t="b">
        <f>G4=Table_ExternalData_1[[#This Row],[EnterpriseName]]</f>
        <v>1</v>
      </c>
    </row>
    <row r="5" spans="1:12" x14ac:dyDescent="0.3">
      <c r="A5" t="s">
        <v>4</v>
      </c>
      <c r="B5">
        <v>6109</v>
      </c>
      <c r="C5" t="s">
        <v>255</v>
      </c>
      <c r="D5" s="46">
        <v>42783.491885104166</v>
      </c>
      <c r="F5" s="20">
        <v>6109</v>
      </c>
      <c r="G5" s="20" t="s">
        <v>255</v>
      </c>
      <c r="H5" s="20" t="s">
        <v>109</v>
      </c>
      <c r="I5" s="20">
        <v>6109</v>
      </c>
      <c r="K5" t="b">
        <f>F5=Table_ExternalData_1[[#This Row],[CallTypeID]]</f>
        <v>1</v>
      </c>
      <c r="L5" t="b">
        <f>G5=Table_ExternalData_1[[#This Row],[EnterpriseName]]</f>
        <v>1</v>
      </c>
    </row>
    <row r="6" spans="1:12" x14ac:dyDescent="0.3">
      <c r="A6" t="s">
        <v>4</v>
      </c>
      <c r="B6">
        <v>6110</v>
      </c>
      <c r="C6" t="s">
        <v>270</v>
      </c>
      <c r="D6" s="46">
        <v>42783.491885104166</v>
      </c>
      <c r="F6" s="20">
        <v>6110</v>
      </c>
      <c r="G6" s="20" t="s">
        <v>270</v>
      </c>
      <c r="H6" s="20" t="s">
        <v>109</v>
      </c>
      <c r="I6" s="20">
        <v>6110</v>
      </c>
      <c r="K6" t="b">
        <f>F6=Table_ExternalData_1[[#This Row],[CallTypeID]]</f>
        <v>1</v>
      </c>
      <c r="L6" t="b">
        <f>G6=Table_ExternalData_1[[#This Row],[EnterpriseName]]</f>
        <v>1</v>
      </c>
    </row>
    <row r="7" spans="1:12" x14ac:dyDescent="0.3">
      <c r="A7" t="s">
        <v>4</v>
      </c>
      <c r="B7">
        <v>6111</v>
      </c>
      <c r="C7" t="s">
        <v>271</v>
      </c>
      <c r="D7" s="46">
        <v>42783.491885104166</v>
      </c>
      <c r="F7" s="20">
        <v>6111</v>
      </c>
      <c r="G7" s="20" t="s">
        <v>271</v>
      </c>
      <c r="H7" s="20" t="s">
        <v>109</v>
      </c>
      <c r="I7" s="20">
        <v>6111</v>
      </c>
      <c r="K7" t="b">
        <f>F7=Table_ExternalData_1[[#This Row],[CallTypeID]]</f>
        <v>1</v>
      </c>
      <c r="L7" t="b">
        <f>G7=Table_ExternalData_1[[#This Row],[EnterpriseName]]</f>
        <v>1</v>
      </c>
    </row>
    <row r="8" spans="1:12" x14ac:dyDescent="0.3">
      <c r="A8" t="s">
        <v>4</v>
      </c>
      <c r="B8">
        <v>6112</v>
      </c>
      <c r="C8" t="s">
        <v>264</v>
      </c>
      <c r="D8" s="46">
        <v>42783.491885104166</v>
      </c>
      <c r="F8" s="20">
        <v>6112</v>
      </c>
      <c r="G8" s="20" t="s">
        <v>264</v>
      </c>
      <c r="H8" s="20" t="s">
        <v>109</v>
      </c>
      <c r="I8" s="20">
        <v>6112</v>
      </c>
      <c r="K8" t="b">
        <f>F8=Table_ExternalData_1[[#This Row],[CallTypeID]]</f>
        <v>1</v>
      </c>
      <c r="L8" t="b">
        <f>G8=Table_ExternalData_1[[#This Row],[EnterpriseName]]</f>
        <v>1</v>
      </c>
    </row>
    <row r="9" spans="1:12" x14ac:dyDescent="0.3">
      <c r="A9" t="s">
        <v>4</v>
      </c>
      <c r="B9">
        <v>6113</v>
      </c>
      <c r="C9" t="s">
        <v>256</v>
      </c>
      <c r="D9" s="46">
        <v>42783.491885104166</v>
      </c>
      <c r="F9" s="20">
        <v>6113</v>
      </c>
      <c r="G9" s="20" t="s">
        <v>256</v>
      </c>
      <c r="H9" s="20" t="s">
        <v>109</v>
      </c>
      <c r="I9" s="20">
        <v>6113</v>
      </c>
      <c r="K9" t="b">
        <f>F9=Table_ExternalData_1[[#This Row],[CallTypeID]]</f>
        <v>1</v>
      </c>
      <c r="L9" t="b">
        <f>G9=Table_ExternalData_1[[#This Row],[EnterpriseName]]</f>
        <v>1</v>
      </c>
    </row>
    <row r="10" spans="1:12" x14ac:dyDescent="0.3">
      <c r="A10" t="s">
        <v>4</v>
      </c>
      <c r="B10">
        <v>6114</v>
      </c>
      <c r="C10" t="s">
        <v>260</v>
      </c>
      <c r="D10" s="46">
        <v>42783.491885104166</v>
      </c>
      <c r="F10" s="20">
        <v>6114</v>
      </c>
      <c r="G10" s="20" t="s">
        <v>260</v>
      </c>
      <c r="H10" s="20" t="s">
        <v>109</v>
      </c>
      <c r="I10" s="20">
        <v>6114</v>
      </c>
      <c r="K10" t="b">
        <f>F10=Table_ExternalData_1[[#This Row],[CallTypeID]]</f>
        <v>1</v>
      </c>
      <c r="L10" t="b">
        <f>G10=Table_ExternalData_1[[#This Row],[EnterpriseName]]</f>
        <v>1</v>
      </c>
    </row>
    <row r="11" spans="1:12" x14ac:dyDescent="0.3">
      <c r="A11" t="s">
        <v>4</v>
      </c>
      <c r="B11">
        <v>6115</v>
      </c>
      <c r="C11" t="s">
        <v>257</v>
      </c>
      <c r="D11" s="46">
        <v>42783.491885104166</v>
      </c>
      <c r="F11" s="20">
        <v>6115</v>
      </c>
      <c r="G11" s="20" t="s">
        <v>257</v>
      </c>
      <c r="H11" s="20" t="s">
        <v>109</v>
      </c>
      <c r="I11" s="20">
        <v>6115</v>
      </c>
      <c r="K11" t="b">
        <f>F11=Table_ExternalData_1[[#This Row],[CallTypeID]]</f>
        <v>1</v>
      </c>
      <c r="L11" t="b">
        <f>G11=Table_ExternalData_1[[#This Row],[EnterpriseName]]</f>
        <v>1</v>
      </c>
    </row>
    <row r="12" spans="1:12" x14ac:dyDescent="0.3">
      <c r="A12" t="s">
        <v>4</v>
      </c>
      <c r="B12">
        <v>6116</v>
      </c>
      <c r="C12" t="s">
        <v>272</v>
      </c>
      <c r="D12" s="46">
        <v>42625.429446724535</v>
      </c>
      <c r="F12" s="20">
        <v>6116</v>
      </c>
      <c r="G12" s="20" t="s">
        <v>272</v>
      </c>
      <c r="H12" s="20" t="s">
        <v>109</v>
      </c>
      <c r="I12" s="20">
        <v>6116</v>
      </c>
      <c r="K12" t="b">
        <f>F12=Table_ExternalData_1[[#This Row],[CallTypeID]]</f>
        <v>1</v>
      </c>
      <c r="L12" t="b">
        <f>G12=Table_ExternalData_1[[#This Row],[EnterpriseName]]</f>
        <v>1</v>
      </c>
    </row>
    <row r="13" spans="1:12" x14ac:dyDescent="0.3">
      <c r="A13" t="s">
        <v>4</v>
      </c>
      <c r="B13">
        <v>6117</v>
      </c>
      <c r="C13" t="s">
        <v>261</v>
      </c>
      <c r="D13" s="46">
        <v>42783.491885104166</v>
      </c>
      <c r="F13" s="20">
        <v>6117</v>
      </c>
      <c r="G13" s="20" t="s">
        <v>261</v>
      </c>
      <c r="H13" s="20" t="s">
        <v>109</v>
      </c>
      <c r="I13" s="20">
        <v>6117</v>
      </c>
      <c r="K13" t="b">
        <f>F13=Table_ExternalData_1[[#This Row],[CallTypeID]]</f>
        <v>1</v>
      </c>
      <c r="L13" t="b">
        <f>G13=Table_ExternalData_1[[#This Row],[EnterpriseName]]</f>
        <v>1</v>
      </c>
    </row>
    <row r="14" spans="1:12" x14ac:dyDescent="0.3">
      <c r="A14" t="s">
        <v>4</v>
      </c>
      <c r="B14">
        <v>6118</v>
      </c>
      <c r="C14" t="s">
        <v>265</v>
      </c>
      <c r="D14" s="46">
        <v>42783.491885104166</v>
      </c>
      <c r="F14" s="20">
        <v>6118</v>
      </c>
      <c r="G14" s="20" t="s">
        <v>265</v>
      </c>
      <c r="H14" s="20" t="s">
        <v>109</v>
      </c>
      <c r="I14" s="20">
        <v>6118</v>
      </c>
      <c r="K14" t="b">
        <f>F14=Table_ExternalData_1[[#This Row],[CallTypeID]]</f>
        <v>1</v>
      </c>
      <c r="L14" t="b">
        <f>G14=Table_ExternalData_1[[#This Row],[EnterpriseName]]</f>
        <v>1</v>
      </c>
    </row>
    <row r="15" spans="1:12" x14ac:dyDescent="0.3">
      <c r="A15" t="s">
        <v>4</v>
      </c>
      <c r="B15">
        <v>6119</v>
      </c>
      <c r="C15" t="s">
        <v>258</v>
      </c>
      <c r="D15" s="46">
        <v>42783.491885104166</v>
      </c>
      <c r="F15" s="20">
        <v>6119</v>
      </c>
      <c r="G15" s="20" t="s">
        <v>258</v>
      </c>
      <c r="H15" s="20" t="s">
        <v>109</v>
      </c>
      <c r="I15" s="20">
        <v>6119</v>
      </c>
      <c r="K15" t="b">
        <f>F15=Table_ExternalData_1[[#This Row],[CallTypeID]]</f>
        <v>1</v>
      </c>
      <c r="L15" t="b">
        <f>G15=Table_ExternalData_1[[#This Row],[EnterpriseName]]</f>
        <v>1</v>
      </c>
    </row>
    <row r="16" spans="1:12" x14ac:dyDescent="0.3">
      <c r="A16" t="s">
        <v>4</v>
      </c>
      <c r="B16">
        <v>6120</v>
      </c>
      <c r="C16" t="s">
        <v>263</v>
      </c>
      <c r="D16" s="46">
        <v>42783.491885104166</v>
      </c>
      <c r="F16" s="20">
        <v>6120</v>
      </c>
      <c r="G16" s="20" t="s">
        <v>263</v>
      </c>
      <c r="H16" s="20" t="s">
        <v>109</v>
      </c>
      <c r="I16" s="20">
        <v>6120</v>
      </c>
      <c r="K16" t="b">
        <f>F16=Table_ExternalData_1[[#This Row],[CallTypeID]]</f>
        <v>1</v>
      </c>
      <c r="L16" t="b">
        <f>G16=Table_ExternalData_1[[#This Row],[EnterpriseName]]</f>
        <v>1</v>
      </c>
    </row>
    <row r="17" spans="1:12" x14ac:dyDescent="0.3">
      <c r="A17" t="s">
        <v>4</v>
      </c>
      <c r="B17">
        <v>6121</v>
      </c>
      <c r="C17" t="s">
        <v>262</v>
      </c>
      <c r="D17" s="46">
        <v>42783.491885104166</v>
      </c>
      <c r="F17" s="20">
        <v>6121</v>
      </c>
      <c r="G17" s="20" t="s">
        <v>262</v>
      </c>
      <c r="H17" s="20" t="s">
        <v>109</v>
      </c>
      <c r="I17" s="20">
        <v>6121</v>
      </c>
      <c r="K17" t="b">
        <f>F17=Table_ExternalData_1[[#This Row],[CallTypeID]]</f>
        <v>1</v>
      </c>
      <c r="L17" t="b">
        <f>G17=Table_ExternalData_1[[#This Row],[EnterpriseName]]</f>
        <v>1</v>
      </c>
    </row>
    <row r="18" spans="1:12" x14ac:dyDescent="0.3">
      <c r="A18" t="s">
        <v>4</v>
      </c>
      <c r="B18">
        <v>6122</v>
      </c>
      <c r="C18" t="s">
        <v>259</v>
      </c>
      <c r="D18" s="46">
        <v>42783.491885104166</v>
      </c>
      <c r="F18" s="20">
        <v>6122</v>
      </c>
      <c r="G18" s="20" t="s">
        <v>259</v>
      </c>
      <c r="H18" s="20" t="s">
        <v>109</v>
      </c>
      <c r="I18" s="20">
        <v>6122</v>
      </c>
      <c r="K18" t="b">
        <f>F18=Table_ExternalData_1[[#This Row],[CallTypeID]]</f>
        <v>1</v>
      </c>
      <c r="L18" t="b">
        <f>G18=Table_ExternalData_1[[#This Row],[EnterpriseName]]</f>
        <v>1</v>
      </c>
    </row>
    <row r="19" spans="1:12" x14ac:dyDescent="0.3">
      <c r="A19" t="s">
        <v>4</v>
      </c>
      <c r="B19">
        <v>6123</v>
      </c>
      <c r="C19" t="s">
        <v>273</v>
      </c>
      <c r="D19" s="46">
        <v>42711.802578356481</v>
      </c>
      <c r="F19" s="20">
        <v>6123</v>
      </c>
      <c r="G19" s="20" t="s">
        <v>273</v>
      </c>
      <c r="H19" s="20" t="s">
        <v>109</v>
      </c>
      <c r="I19" s="20">
        <v>6123</v>
      </c>
      <c r="K19" t="b">
        <f>F19=Table_ExternalData_1[[#This Row],[CallTypeID]]</f>
        <v>1</v>
      </c>
      <c r="L19" t="b">
        <f>G19=Table_ExternalData_1[[#This Row],[EnterpriseName]]</f>
        <v>1</v>
      </c>
    </row>
    <row r="20" spans="1:12" x14ac:dyDescent="0.3">
      <c r="A20" t="s">
        <v>4</v>
      </c>
      <c r="B20">
        <v>6124</v>
      </c>
      <c r="C20" t="s">
        <v>274</v>
      </c>
      <c r="D20" s="46">
        <v>42783.491885104166</v>
      </c>
      <c r="F20" s="20">
        <v>6124</v>
      </c>
      <c r="G20" s="20" t="s">
        <v>274</v>
      </c>
      <c r="H20" s="20" t="s">
        <v>109</v>
      </c>
      <c r="I20" s="20">
        <v>6124</v>
      </c>
      <c r="K20" t="b">
        <f>F20=Table_ExternalData_1[[#This Row],[CallTypeID]]</f>
        <v>1</v>
      </c>
      <c r="L20" t="b">
        <f>G20=Table_ExternalData_1[[#This Row],[EnterpriseName]]</f>
        <v>1</v>
      </c>
    </row>
    <row r="21" spans="1:12" x14ac:dyDescent="0.3">
      <c r="A21" t="s">
        <v>4</v>
      </c>
      <c r="B21">
        <v>6125</v>
      </c>
      <c r="C21" t="s">
        <v>275</v>
      </c>
      <c r="D21" s="46">
        <v>42711.802578356481</v>
      </c>
      <c r="F21" s="20">
        <v>6125</v>
      </c>
      <c r="G21" s="20" t="s">
        <v>275</v>
      </c>
      <c r="H21" s="20" t="s">
        <v>109</v>
      </c>
      <c r="I21" s="20">
        <v>6125</v>
      </c>
      <c r="K21" t="b">
        <f>F21=Table_ExternalData_1[[#This Row],[CallTypeID]]</f>
        <v>1</v>
      </c>
      <c r="L21" t="b">
        <f>G21=Table_ExternalData_1[[#This Row],[EnterpriseName]]</f>
        <v>1</v>
      </c>
    </row>
    <row r="22" spans="1:12" x14ac:dyDescent="0.3">
      <c r="A22" t="s">
        <v>4</v>
      </c>
      <c r="B22">
        <v>6126</v>
      </c>
      <c r="C22" t="s">
        <v>276</v>
      </c>
      <c r="D22" s="46">
        <v>42620.549520752313</v>
      </c>
      <c r="F22" s="20">
        <v>6126</v>
      </c>
      <c r="G22" s="20" t="s">
        <v>276</v>
      </c>
      <c r="H22" s="20" t="s">
        <v>109</v>
      </c>
      <c r="I22" s="20">
        <v>6126</v>
      </c>
      <c r="K22" t="b">
        <f>F22=Table_ExternalData_1[[#This Row],[CallTypeID]]</f>
        <v>1</v>
      </c>
      <c r="L22" t="b">
        <f>G22=Table_ExternalData_1[[#This Row],[EnterpriseName]]</f>
        <v>1</v>
      </c>
    </row>
    <row r="23" spans="1:12" x14ac:dyDescent="0.3">
      <c r="A23" t="s">
        <v>4</v>
      </c>
      <c r="B23">
        <v>6127</v>
      </c>
      <c r="C23" t="s">
        <v>277</v>
      </c>
      <c r="D23" s="46">
        <v>42615.629376238423</v>
      </c>
      <c r="F23" s="20">
        <v>6127</v>
      </c>
      <c r="G23" s="20" t="s">
        <v>277</v>
      </c>
      <c r="H23" s="20" t="s">
        <v>109</v>
      </c>
      <c r="I23" s="20">
        <v>6127</v>
      </c>
      <c r="K23" t="b">
        <f>F23=Table_ExternalData_1[[#This Row],[CallTypeID]]</f>
        <v>1</v>
      </c>
      <c r="L23" t="b">
        <f>G23=Table_ExternalData_1[[#This Row],[EnterpriseName]]</f>
        <v>1</v>
      </c>
    </row>
    <row r="24" spans="1:12" x14ac:dyDescent="0.3">
      <c r="A24" t="s">
        <v>4</v>
      </c>
      <c r="B24">
        <v>6132</v>
      </c>
      <c r="C24" t="s">
        <v>278</v>
      </c>
      <c r="D24" s="46">
        <v>42615.630284918981</v>
      </c>
      <c r="F24" s="20">
        <v>6132</v>
      </c>
      <c r="G24" s="20" t="s">
        <v>278</v>
      </c>
      <c r="H24" s="20" t="s">
        <v>109</v>
      </c>
      <c r="I24" s="20">
        <v>6132</v>
      </c>
      <c r="K24" t="b">
        <f>F24=Table_ExternalData_1[[#This Row],[CallTypeID]]</f>
        <v>1</v>
      </c>
      <c r="L24" t="b">
        <f>G24=Table_ExternalData_1[[#This Row],[EnterpriseName]]</f>
        <v>1</v>
      </c>
    </row>
    <row r="25" spans="1:12" x14ac:dyDescent="0.3">
      <c r="A25" t="s">
        <v>4</v>
      </c>
      <c r="B25">
        <v>6133</v>
      </c>
      <c r="C25" t="s">
        <v>254</v>
      </c>
      <c r="D25" s="46">
        <v>42615.630527928239</v>
      </c>
      <c r="F25" s="20">
        <v>6133</v>
      </c>
      <c r="G25" s="20" t="s">
        <v>254</v>
      </c>
      <c r="H25" s="20" t="s">
        <v>109</v>
      </c>
      <c r="I25" s="20">
        <v>6133</v>
      </c>
      <c r="K25" t="b">
        <f>F25=Table_ExternalData_1[[#This Row],[CallTypeID]]</f>
        <v>1</v>
      </c>
      <c r="L25" t="b">
        <f>G25=Table_ExternalData_1[[#This Row],[EnterpriseName]]</f>
        <v>1</v>
      </c>
    </row>
    <row r="26" spans="1:12" x14ac:dyDescent="0.3">
      <c r="A26" t="s">
        <v>4</v>
      </c>
      <c r="B26">
        <v>6139</v>
      </c>
      <c r="C26" t="s">
        <v>279</v>
      </c>
      <c r="D26" s="46">
        <v>42615.632223576387</v>
      </c>
      <c r="F26" s="20">
        <v>6139</v>
      </c>
      <c r="G26" s="20" t="s">
        <v>279</v>
      </c>
      <c r="H26" s="20" t="s">
        <v>109</v>
      </c>
      <c r="I26" s="20">
        <v>6139</v>
      </c>
      <c r="K26" t="b">
        <f>F26=Table_ExternalData_1[[#This Row],[CallTypeID]]</f>
        <v>1</v>
      </c>
      <c r="L26" t="b">
        <f>G26=Table_ExternalData_1[[#This Row],[EnterpriseName]]</f>
        <v>1</v>
      </c>
    </row>
    <row r="27" spans="1:12" x14ac:dyDescent="0.3">
      <c r="A27" t="s">
        <v>4</v>
      </c>
      <c r="B27">
        <v>6140</v>
      </c>
      <c r="C27" t="s">
        <v>280</v>
      </c>
      <c r="D27" s="46">
        <v>42615.632477696759</v>
      </c>
      <c r="F27" s="20">
        <v>6140</v>
      </c>
      <c r="G27" s="20" t="s">
        <v>280</v>
      </c>
      <c r="H27" s="20" t="s">
        <v>109</v>
      </c>
      <c r="I27" s="20">
        <v>6140</v>
      </c>
      <c r="K27" t="b">
        <f>F27=Table_ExternalData_1[[#This Row],[CallTypeID]]</f>
        <v>1</v>
      </c>
      <c r="L27" t="b">
        <f>G27=Table_ExternalData_1[[#This Row],[EnterpriseName]]</f>
        <v>1</v>
      </c>
    </row>
    <row r="28" spans="1:12" x14ac:dyDescent="0.3">
      <c r="A28" t="s">
        <v>4</v>
      </c>
      <c r="B28">
        <v>6141</v>
      </c>
      <c r="C28" t="s">
        <v>281</v>
      </c>
      <c r="D28" s="46">
        <v>42615.632703391202</v>
      </c>
      <c r="F28" s="20">
        <v>6141</v>
      </c>
      <c r="G28" s="20" t="s">
        <v>281</v>
      </c>
      <c r="H28" s="20" t="s">
        <v>109</v>
      </c>
      <c r="I28" s="20">
        <v>6141</v>
      </c>
      <c r="K28" t="b">
        <f>F28=Table_ExternalData_1[[#This Row],[CallTypeID]]</f>
        <v>1</v>
      </c>
      <c r="L28" t="b">
        <f>G28=Table_ExternalData_1[[#This Row],[EnterpriseName]]</f>
        <v>1</v>
      </c>
    </row>
    <row r="29" spans="1:12" x14ac:dyDescent="0.3">
      <c r="A29" t="s">
        <v>4</v>
      </c>
      <c r="B29">
        <v>6142</v>
      </c>
      <c r="C29" t="s">
        <v>282</v>
      </c>
      <c r="D29" s="46">
        <v>42615.632894907409</v>
      </c>
      <c r="F29" s="20">
        <v>6142</v>
      </c>
      <c r="G29" s="20" t="s">
        <v>282</v>
      </c>
      <c r="H29" s="20" t="s">
        <v>109</v>
      </c>
      <c r="I29" s="20">
        <v>6142</v>
      </c>
      <c r="K29" t="b">
        <f>F29=Table_ExternalData_1[[#This Row],[CallTypeID]]</f>
        <v>1</v>
      </c>
      <c r="L29" t="b">
        <f>G29=Table_ExternalData_1[[#This Row],[EnterpriseName]]</f>
        <v>1</v>
      </c>
    </row>
    <row r="30" spans="1:12" x14ac:dyDescent="0.3">
      <c r="A30" t="s">
        <v>4</v>
      </c>
      <c r="B30">
        <v>6143</v>
      </c>
      <c r="C30" t="s">
        <v>283</v>
      </c>
      <c r="D30" s="46">
        <v>42615.633103159722</v>
      </c>
      <c r="F30" s="20">
        <v>6143</v>
      </c>
      <c r="G30" s="20" t="s">
        <v>283</v>
      </c>
      <c r="H30" s="20" t="s">
        <v>109</v>
      </c>
      <c r="I30" s="20">
        <v>6143</v>
      </c>
      <c r="K30" t="b">
        <f>F30=Table_ExternalData_1[[#This Row],[CallTypeID]]</f>
        <v>1</v>
      </c>
      <c r="L30" t="b">
        <f>G30=Table_ExternalData_1[[#This Row],[EnterpriseName]]</f>
        <v>1</v>
      </c>
    </row>
    <row r="31" spans="1:12" x14ac:dyDescent="0.3">
      <c r="A31" t="s">
        <v>4</v>
      </c>
      <c r="B31">
        <v>6144</v>
      </c>
      <c r="C31" t="s">
        <v>284</v>
      </c>
      <c r="D31" s="46">
        <v>42615.633421493054</v>
      </c>
      <c r="F31" s="20">
        <v>6144</v>
      </c>
      <c r="G31" s="20" t="s">
        <v>284</v>
      </c>
      <c r="H31" s="20" t="s">
        <v>109</v>
      </c>
      <c r="I31" s="20">
        <v>6144</v>
      </c>
      <c r="K31" t="b">
        <f>F31=Table_ExternalData_1[[#This Row],[CallTypeID]]</f>
        <v>1</v>
      </c>
      <c r="L31" t="b">
        <f>G31=Table_ExternalData_1[[#This Row],[EnterpriseName]]</f>
        <v>1</v>
      </c>
    </row>
    <row r="32" spans="1:12" x14ac:dyDescent="0.3">
      <c r="A32" t="s">
        <v>4</v>
      </c>
      <c r="B32">
        <v>6145</v>
      </c>
      <c r="C32" t="s">
        <v>285</v>
      </c>
      <c r="D32" s="46">
        <v>42615.633606747688</v>
      </c>
      <c r="F32" s="20">
        <v>6145</v>
      </c>
      <c r="G32" s="20" t="s">
        <v>285</v>
      </c>
      <c r="H32" s="20" t="s">
        <v>109</v>
      </c>
      <c r="I32" s="20">
        <v>6145</v>
      </c>
      <c r="K32" t="b">
        <f>F32=Table_ExternalData_1[[#This Row],[CallTypeID]]</f>
        <v>1</v>
      </c>
      <c r="L32" t="b">
        <f>G32=Table_ExternalData_1[[#This Row],[EnterpriseName]]</f>
        <v>1</v>
      </c>
    </row>
    <row r="33" spans="1:12" x14ac:dyDescent="0.3">
      <c r="A33" t="s">
        <v>4</v>
      </c>
      <c r="B33">
        <v>6146</v>
      </c>
      <c r="C33" t="s">
        <v>286</v>
      </c>
      <c r="D33" s="46">
        <v>42615.633815127316</v>
      </c>
      <c r="F33" s="20">
        <v>6146</v>
      </c>
      <c r="G33" s="20" t="s">
        <v>286</v>
      </c>
      <c r="H33" s="20" t="s">
        <v>109</v>
      </c>
      <c r="I33" s="20">
        <v>6146</v>
      </c>
      <c r="K33" t="b">
        <f>F33=Table_ExternalData_1[[#This Row],[CallTypeID]]</f>
        <v>1</v>
      </c>
      <c r="L33" t="b">
        <f>G33=Table_ExternalData_1[[#This Row],[EnterpriseName]]</f>
        <v>1</v>
      </c>
    </row>
    <row r="34" spans="1:12" x14ac:dyDescent="0.3">
      <c r="A34" t="s">
        <v>4</v>
      </c>
      <c r="B34">
        <v>6147</v>
      </c>
      <c r="C34" t="s">
        <v>287</v>
      </c>
      <c r="D34" s="46">
        <v>42615.634011770831</v>
      </c>
      <c r="F34" s="20">
        <v>6147</v>
      </c>
      <c r="G34" s="20" t="s">
        <v>287</v>
      </c>
      <c r="H34" s="20" t="s">
        <v>109</v>
      </c>
      <c r="I34" s="20">
        <v>6147</v>
      </c>
      <c r="K34" t="b">
        <f>F34=Table_ExternalData_1[[#This Row],[CallTypeID]]</f>
        <v>1</v>
      </c>
      <c r="L34" t="b">
        <f>G34=Table_ExternalData_1[[#This Row],[EnterpriseName]]</f>
        <v>1</v>
      </c>
    </row>
    <row r="35" spans="1:12" x14ac:dyDescent="0.3">
      <c r="A35" t="s">
        <v>4</v>
      </c>
      <c r="B35">
        <v>6148</v>
      </c>
      <c r="C35" t="s">
        <v>288</v>
      </c>
      <c r="D35" s="46">
        <v>42615.634294872689</v>
      </c>
      <c r="F35" s="20">
        <v>6148</v>
      </c>
      <c r="G35" s="20" t="s">
        <v>288</v>
      </c>
      <c r="H35" s="20" t="s">
        <v>109</v>
      </c>
      <c r="I35" s="20">
        <v>6148</v>
      </c>
      <c r="K35" t="b">
        <f>F35=Table_ExternalData_1[[#This Row],[CallTypeID]]</f>
        <v>1</v>
      </c>
      <c r="L35" t="b">
        <f>G35=Table_ExternalData_1[[#This Row],[EnterpriseName]]</f>
        <v>1</v>
      </c>
    </row>
    <row r="36" spans="1:12" x14ac:dyDescent="0.3">
      <c r="A36" t="s">
        <v>4</v>
      </c>
      <c r="B36">
        <v>6149</v>
      </c>
      <c r="C36" t="s">
        <v>289</v>
      </c>
      <c r="D36" s="46">
        <v>42615.634555787037</v>
      </c>
      <c r="F36" s="20">
        <v>6149</v>
      </c>
      <c r="G36" s="20" t="s">
        <v>289</v>
      </c>
      <c r="H36" s="20" t="s">
        <v>109</v>
      </c>
      <c r="I36" s="20">
        <v>6149</v>
      </c>
      <c r="K36" t="b">
        <f>F36=Table_ExternalData_1[[#This Row],[CallTypeID]]</f>
        <v>1</v>
      </c>
      <c r="L36" t="b">
        <f>G36=Table_ExternalData_1[[#This Row],[EnterpriseName]]</f>
        <v>1</v>
      </c>
    </row>
    <row r="37" spans="1:12" x14ac:dyDescent="0.3">
      <c r="A37" t="s">
        <v>4</v>
      </c>
      <c r="B37">
        <v>6150</v>
      </c>
      <c r="C37" t="s">
        <v>290</v>
      </c>
      <c r="D37" s="46">
        <v>42615.634746261574</v>
      </c>
      <c r="F37" s="20">
        <v>6150</v>
      </c>
      <c r="G37" s="20" t="s">
        <v>290</v>
      </c>
      <c r="H37" s="20" t="s">
        <v>109</v>
      </c>
      <c r="I37" s="20">
        <v>6150</v>
      </c>
      <c r="K37" t="b">
        <f>F37=Table_ExternalData_1[[#This Row],[CallTypeID]]</f>
        <v>1</v>
      </c>
      <c r="L37" t="b">
        <f>G37=Table_ExternalData_1[[#This Row],[EnterpriseName]]</f>
        <v>1</v>
      </c>
    </row>
    <row r="38" spans="1:12" x14ac:dyDescent="0.3">
      <c r="A38" t="s">
        <v>4</v>
      </c>
      <c r="B38">
        <v>6152</v>
      </c>
      <c r="C38" t="s">
        <v>291</v>
      </c>
      <c r="D38" s="46">
        <v>42620.550128437499</v>
      </c>
      <c r="F38" s="20">
        <v>6152</v>
      </c>
      <c r="G38" s="20" t="s">
        <v>291</v>
      </c>
      <c r="H38" s="20" t="s">
        <v>109</v>
      </c>
      <c r="I38" s="20">
        <v>6152</v>
      </c>
      <c r="K38" t="b">
        <f>F38=Table_ExternalData_1[[#This Row],[CallTypeID]]</f>
        <v>1</v>
      </c>
      <c r="L38" t="b">
        <f>G38=Table_ExternalData_1[[#This Row],[EnterpriseName]]</f>
        <v>1</v>
      </c>
    </row>
    <row r="39" spans="1:12" x14ac:dyDescent="0.3">
      <c r="A39" t="s">
        <v>4</v>
      </c>
      <c r="B39">
        <v>6221</v>
      </c>
      <c r="C39" t="s">
        <v>292</v>
      </c>
      <c r="D39" s="46">
        <v>42622.60634791667</v>
      </c>
      <c r="F39" s="20">
        <v>6221</v>
      </c>
      <c r="G39" s="20" t="s">
        <v>292</v>
      </c>
      <c r="H39" s="20" t="s">
        <v>109</v>
      </c>
      <c r="I39" s="20">
        <v>6221</v>
      </c>
      <c r="K39" t="b">
        <f>F39=Table_ExternalData_1[[#This Row],[CallTypeID]]</f>
        <v>1</v>
      </c>
      <c r="L39" t="b">
        <f>G39=Table_ExternalData_1[[#This Row],[EnterpriseName]]</f>
        <v>1</v>
      </c>
    </row>
    <row r="40" spans="1:12" x14ac:dyDescent="0.3">
      <c r="A40" t="s">
        <v>4</v>
      </c>
      <c r="B40">
        <v>6222</v>
      </c>
      <c r="C40" t="s">
        <v>293</v>
      </c>
      <c r="D40" s="46">
        <v>42622.606712465276</v>
      </c>
      <c r="F40" s="20">
        <v>6222</v>
      </c>
      <c r="G40" s="20" t="s">
        <v>293</v>
      </c>
      <c r="H40" s="20" t="s">
        <v>109</v>
      </c>
      <c r="I40" s="20">
        <v>6222</v>
      </c>
      <c r="K40" t="b">
        <f>F40=Table_ExternalData_1[[#This Row],[CallTypeID]]</f>
        <v>1</v>
      </c>
      <c r="L40" t="b">
        <f>G40=Table_ExternalData_1[[#This Row],[EnterpriseName]]</f>
        <v>1</v>
      </c>
    </row>
    <row r="41" spans="1:12" x14ac:dyDescent="0.3">
      <c r="A41" t="s">
        <v>4</v>
      </c>
      <c r="B41">
        <v>6223</v>
      </c>
      <c r="C41" t="s">
        <v>294</v>
      </c>
      <c r="D41" s="46">
        <v>42622.607158101855</v>
      </c>
      <c r="F41" s="20">
        <v>6223</v>
      </c>
      <c r="G41" s="20" t="s">
        <v>294</v>
      </c>
      <c r="H41" s="20" t="s">
        <v>109</v>
      </c>
      <c r="I41" s="20">
        <v>6223</v>
      </c>
      <c r="K41" t="b">
        <f>F41=Table_ExternalData_1[[#This Row],[CallTypeID]]</f>
        <v>1</v>
      </c>
      <c r="L41" t="b">
        <f>G41=Table_ExternalData_1[[#This Row],[EnterpriseName]]</f>
        <v>1</v>
      </c>
    </row>
    <row r="42" spans="1:12" x14ac:dyDescent="0.3">
      <c r="A42" t="s">
        <v>4</v>
      </c>
      <c r="B42">
        <v>6224</v>
      </c>
      <c r="C42" t="s">
        <v>295</v>
      </c>
      <c r="D42" s="46">
        <v>42622.60743596065</v>
      </c>
      <c r="F42" s="20">
        <v>6224</v>
      </c>
      <c r="G42" s="20" t="s">
        <v>295</v>
      </c>
      <c r="H42" s="20" t="s">
        <v>109</v>
      </c>
      <c r="I42" s="20">
        <v>6224</v>
      </c>
      <c r="K42" t="b">
        <f>F42=Table_ExternalData_1[[#This Row],[CallTypeID]]</f>
        <v>1</v>
      </c>
      <c r="L42" t="b">
        <f>G42=Table_ExternalData_1[[#This Row],[EnterpriseName]]</f>
        <v>1</v>
      </c>
    </row>
    <row r="43" spans="1:12" x14ac:dyDescent="0.3">
      <c r="A43" t="s">
        <v>4</v>
      </c>
      <c r="B43">
        <v>6225</v>
      </c>
      <c r="C43" t="s">
        <v>296</v>
      </c>
      <c r="D43" s="46">
        <v>42622.608378703706</v>
      </c>
      <c r="F43" s="20">
        <v>6225</v>
      </c>
      <c r="G43" s="20" t="s">
        <v>296</v>
      </c>
      <c r="H43" s="20" t="s">
        <v>109</v>
      </c>
      <c r="I43" s="20">
        <v>6225</v>
      </c>
      <c r="K43" t="b">
        <f>F43=Table_ExternalData_1[[#This Row],[CallTypeID]]</f>
        <v>1</v>
      </c>
      <c r="L43" t="b">
        <f>G43=Table_ExternalData_1[[#This Row],[EnterpriseName]]</f>
        <v>1</v>
      </c>
    </row>
    <row r="44" spans="1:12" x14ac:dyDescent="0.3">
      <c r="A44" t="s">
        <v>4</v>
      </c>
      <c r="B44">
        <v>6586</v>
      </c>
      <c r="C44" t="s">
        <v>322</v>
      </c>
      <c r="D44" s="46">
        <v>42869.429564548613</v>
      </c>
      <c r="F44" s="20">
        <v>6586</v>
      </c>
      <c r="G44" s="20" t="s">
        <v>322</v>
      </c>
      <c r="H44" s="20" t="s">
        <v>109</v>
      </c>
      <c r="I44" s="20">
        <v>6586</v>
      </c>
      <c r="K44" t="b">
        <f>F44=Table_ExternalData_1[[#This Row],[CallTypeID]]</f>
        <v>1</v>
      </c>
      <c r="L44" t="b">
        <f>G44=Table_ExternalData_1[[#This Row],[EnterpriseName]]</f>
        <v>1</v>
      </c>
    </row>
    <row r="45" spans="1:12" x14ac:dyDescent="0.3">
      <c r="A45" t="s">
        <v>4</v>
      </c>
      <c r="B45">
        <v>6587</v>
      </c>
      <c r="C45" t="s">
        <v>329</v>
      </c>
      <c r="D45" s="46">
        <v>42869.429848113425</v>
      </c>
      <c r="F45" s="20">
        <v>6587</v>
      </c>
      <c r="G45" s="20" t="s">
        <v>329</v>
      </c>
      <c r="H45" s="20" t="s">
        <v>109</v>
      </c>
      <c r="I45" s="20">
        <v>6587</v>
      </c>
      <c r="K45" t="b">
        <f>F45=Table_ExternalData_1[[#This Row],[CallTypeID]]</f>
        <v>1</v>
      </c>
      <c r="L45" t="b">
        <f>G45=Table_ExternalData_1[[#This Row],[EnterpriseName]]</f>
        <v>1</v>
      </c>
    </row>
    <row r="46" spans="1:12" x14ac:dyDescent="0.3">
      <c r="A46" t="s">
        <v>4</v>
      </c>
      <c r="B46">
        <v>6588</v>
      </c>
      <c r="C46" t="s">
        <v>323</v>
      </c>
      <c r="D46" s="46">
        <v>42869.430149039355</v>
      </c>
      <c r="F46" s="20">
        <v>6588</v>
      </c>
      <c r="G46" s="20" t="s">
        <v>323</v>
      </c>
      <c r="H46" s="20" t="s">
        <v>109</v>
      </c>
      <c r="I46" s="20">
        <v>6588</v>
      </c>
      <c r="K46" t="b">
        <f>F46=Table_ExternalData_1[[#This Row],[CallTypeID]]</f>
        <v>1</v>
      </c>
      <c r="L46" t="b">
        <f>G46=Table_ExternalData_1[[#This Row],[EnterpriseName]]</f>
        <v>1</v>
      </c>
    </row>
    <row r="47" spans="1:12" x14ac:dyDescent="0.3">
      <c r="A47" t="s">
        <v>4</v>
      </c>
      <c r="B47">
        <v>6589</v>
      </c>
      <c r="C47" t="s">
        <v>328</v>
      </c>
      <c r="D47" s="46">
        <v>42869.430380590275</v>
      </c>
      <c r="F47" s="20">
        <v>6589</v>
      </c>
      <c r="G47" s="20" t="s">
        <v>328</v>
      </c>
      <c r="H47" s="20" t="s">
        <v>109</v>
      </c>
      <c r="I47" s="20">
        <v>6589</v>
      </c>
      <c r="K47" t="b">
        <f>F47=Table_ExternalData_1[[#This Row],[CallTypeID]]</f>
        <v>1</v>
      </c>
      <c r="L47" t="b">
        <f>G47=Table_ExternalData_1[[#This Row],[EnterpriseName]]</f>
        <v>1</v>
      </c>
    </row>
    <row r="48" spans="1:12" x14ac:dyDescent="0.3">
      <c r="A48" t="s">
        <v>4</v>
      </c>
      <c r="B48">
        <v>6590</v>
      </c>
      <c r="C48" t="s">
        <v>318</v>
      </c>
      <c r="D48" s="46">
        <v>42869.430727812498</v>
      </c>
      <c r="F48" s="20">
        <v>6590</v>
      </c>
      <c r="G48" s="20" t="s">
        <v>318</v>
      </c>
      <c r="H48" s="20" t="s">
        <v>109</v>
      </c>
      <c r="I48" s="20">
        <v>6590</v>
      </c>
      <c r="K48" t="b">
        <f>F48=Table_ExternalData_1[[#This Row],[CallTypeID]]</f>
        <v>1</v>
      </c>
      <c r="L48" t="b">
        <f>G48=Table_ExternalData_1[[#This Row],[EnterpriseName]]</f>
        <v>1</v>
      </c>
    </row>
    <row r="49" spans="1:12" x14ac:dyDescent="0.3">
      <c r="A49" t="s">
        <v>4</v>
      </c>
      <c r="B49">
        <v>6591</v>
      </c>
      <c r="C49" t="s">
        <v>324</v>
      </c>
      <c r="D49" s="46">
        <v>42869.430982407408</v>
      </c>
      <c r="F49" s="20">
        <v>6591</v>
      </c>
      <c r="G49" s="20" t="s">
        <v>324</v>
      </c>
      <c r="H49" s="20" t="s">
        <v>109</v>
      </c>
      <c r="I49" s="20">
        <v>6591</v>
      </c>
      <c r="K49" t="b">
        <f>F49=Table_ExternalData_1[[#This Row],[CallTypeID]]</f>
        <v>1</v>
      </c>
      <c r="L49" t="b">
        <f>G49=Table_ExternalData_1[[#This Row],[EnterpriseName]]</f>
        <v>1</v>
      </c>
    </row>
    <row r="50" spans="1:12" x14ac:dyDescent="0.3">
      <c r="A50" t="s">
        <v>4</v>
      </c>
      <c r="B50">
        <v>6592</v>
      </c>
      <c r="C50" t="s">
        <v>319</v>
      </c>
      <c r="D50" s="46">
        <v>42869.431260219906</v>
      </c>
      <c r="F50" s="20">
        <v>6592</v>
      </c>
      <c r="G50" s="20" t="s">
        <v>319</v>
      </c>
      <c r="H50" s="20" t="s">
        <v>109</v>
      </c>
      <c r="I50" s="20">
        <v>6592</v>
      </c>
      <c r="K50" t="b">
        <f>F50=Table_ExternalData_1[[#This Row],[CallTypeID]]</f>
        <v>1</v>
      </c>
      <c r="L50" t="b">
        <f>G50=Table_ExternalData_1[[#This Row],[EnterpriseName]]</f>
        <v>1</v>
      </c>
    </row>
    <row r="51" spans="1:12" x14ac:dyDescent="0.3">
      <c r="A51" t="s">
        <v>4</v>
      </c>
      <c r="B51">
        <v>6593</v>
      </c>
      <c r="C51" t="s">
        <v>327</v>
      </c>
      <c r="D51" s="46">
        <v>42869.431468483795</v>
      </c>
      <c r="F51" s="20">
        <v>6593</v>
      </c>
      <c r="G51" s="20" t="s">
        <v>327</v>
      </c>
      <c r="H51" s="20" t="s">
        <v>109</v>
      </c>
      <c r="I51" s="20">
        <v>6593</v>
      </c>
      <c r="K51" t="b">
        <f>F51=Table_ExternalData_1[[#This Row],[CallTypeID]]</f>
        <v>1</v>
      </c>
      <c r="L51" t="b">
        <f>G51=Table_ExternalData_1[[#This Row],[EnterpriseName]]</f>
        <v>1</v>
      </c>
    </row>
    <row r="52" spans="1:12" x14ac:dyDescent="0.3">
      <c r="A52" t="s">
        <v>4</v>
      </c>
      <c r="B52">
        <v>6594</v>
      </c>
      <c r="C52" t="s">
        <v>330</v>
      </c>
      <c r="D52" s="46">
        <v>42869.431676851855</v>
      </c>
      <c r="F52" s="20">
        <v>6594</v>
      </c>
      <c r="G52" s="20" t="s">
        <v>330</v>
      </c>
      <c r="H52" s="20" t="s">
        <v>109</v>
      </c>
      <c r="I52" s="20">
        <v>6594</v>
      </c>
      <c r="K52" t="b">
        <f>F52=Table_ExternalData_1[[#This Row],[CallTypeID]]</f>
        <v>1</v>
      </c>
      <c r="L52" t="b">
        <f>G52=Table_ExternalData_1[[#This Row],[EnterpriseName]]</f>
        <v>1</v>
      </c>
    </row>
    <row r="53" spans="1:12" x14ac:dyDescent="0.3">
      <c r="A53" t="s">
        <v>4</v>
      </c>
      <c r="B53">
        <v>6595</v>
      </c>
      <c r="C53" t="s">
        <v>325</v>
      </c>
      <c r="D53" s="46">
        <v>42869.431867905092</v>
      </c>
      <c r="F53" s="20">
        <v>6595</v>
      </c>
      <c r="G53" s="20" t="s">
        <v>325</v>
      </c>
      <c r="H53" s="20" t="s">
        <v>109</v>
      </c>
      <c r="I53" s="20">
        <v>6595</v>
      </c>
      <c r="K53" t="b">
        <f>F53=Table_ExternalData_1[[#This Row],[CallTypeID]]</f>
        <v>1</v>
      </c>
      <c r="L53" t="b">
        <f>G53=Table_ExternalData_1[[#This Row],[EnterpriseName]]</f>
        <v>1</v>
      </c>
    </row>
    <row r="54" spans="1:12" x14ac:dyDescent="0.3">
      <c r="A54" t="s">
        <v>4</v>
      </c>
      <c r="B54">
        <v>6596</v>
      </c>
      <c r="C54" t="s">
        <v>321</v>
      </c>
      <c r="D54" s="46">
        <v>42869.432116701391</v>
      </c>
      <c r="F54" s="20">
        <v>6596</v>
      </c>
      <c r="G54" s="20" t="s">
        <v>321</v>
      </c>
      <c r="H54" s="20" t="s">
        <v>109</v>
      </c>
      <c r="I54" s="20">
        <v>6596</v>
      </c>
      <c r="K54" t="b">
        <f>F54=Table_ExternalData_1[[#This Row],[CallTypeID]]</f>
        <v>1</v>
      </c>
      <c r="L54" t="b">
        <f>G54=Table_ExternalData_1[[#This Row],[EnterpriseName]]</f>
        <v>1</v>
      </c>
    </row>
    <row r="55" spans="1:12" x14ac:dyDescent="0.3">
      <c r="A55" t="s">
        <v>4</v>
      </c>
      <c r="B55">
        <v>6597</v>
      </c>
      <c r="C55" t="s">
        <v>331</v>
      </c>
      <c r="D55" s="46">
        <v>42869.432406053238</v>
      </c>
      <c r="F55" s="20">
        <v>6597</v>
      </c>
      <c r="G55" s="20" t="s">
        <v>331</v>
      </c>
      <c r="H55" s="20" t="s">
        <v>109</v>
      </c>
      <c r="I55" s="20">
        <v>6597</v>
      </c>
      <c r="K55" t="b">
        <f>F55=Table_ExternalData_1[[#This Row],[CallTypeID]]</f>
        <v>1</v>
      </c>
      <c r="L55" t="b">
        <f>G55=Table_ExternalData_1[[#This Row],[EnterpriseName]]</f>
        <v>1</v>
      </c>
    </row>
    <row r="56" spans="1:12" x14ac:dyDescent="0.3">
      <c r="A56" t="s">
        <v>4</v>
      </c>
      <c r="B56">
        <v>6598</v>
      </c>
      <c r="C56" t="s">
        <v>320</v>
      </c>
      <c r="D56" s="46">
        <v>42869.432614432873</v>
      </c>
      <c r="F56" s="20">
        <v>6598</v>
      </c>
      <c r="G56" s="20" t="s">
        <v>320</v>
      </c>
      <c r="H56" s="20" t="s">
        <v>109</v>
      </c>
      <c r="I56" s="20">
        <v>6598</v>
      </c>
      <c r="K56" t="b">
        <f>F56=Table_ExternalData_1[[#This Row],[CallTypeID]]</f>
        <v>1</v>
      </c>
      <c r="L56" t="b">
        <f>G56=Table_ExternalData_1[[#This Row],[EnterpriseName]]</f>
        <v>1</v>
      </c>
    </row>
    <row r="57" spans="1:12" x14ac:dyDescent="0.3">
      <c r="A57" t="s">
        <v>4</v>
      </c>
      <c r="B57">
        <v>6599</v>
      </c>
      <c r="C57" t="s">
        <v>326</v>
      </c>
      <c r="D57" s="46">
        <v>42871.598419942129</v>
      </c>
      <c r="F57" s="20">
        <v>6599</v>
      </c>
      <c r="G57" s="20" t="s">
        <v>326</v>
      </c>
      <c r="H57" s="20" t="s">
        <v>109</v>
      </c>
      <c r="I57" s="20">
        <v>6599</v>
      </c>
      <c r="K57" t="b">
        <f>F57=Table_ExternalData_1[[#This Row],[CallTypeID]]</f>
        <v>1</v>
      </c>
      <c r="L57" t="b">
        <f>G57=Table_ExternalData_1[[#This Row],[EnterpriseName]]</f>
        <v>1</v>
      </c>
    </row>
  </sheetData>
  <autoFilter ref="K1:L1"/>
  <conditionalFormatting sqref="K1:L1048576">
    <cfRule type="cellIs" dxfId="5" priority="1" operator="equal">
      <formula>FALSE</formula>
    </cfRule>
  </conditionalFormatting>
  <pageMargins left="0.7" right="0.7" top="0.75" bottom="0.75" header="0.3" footer="0.3"/>
  <pageSetup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H32"/>
  <sheetViews>
    <sheetView topLeftCell="B1" workbookViewId="0">
      <selection activeCell="L11" sqref="L11"/>
    </sheetView>
  </sheetViews>
  <sheetFormatPr defaultRowHeight="14.4" x14ac:dyDescent="0.3"/>
  <cols>
    <col min="1" max="1" width="15.6640625" bestFit="1" customWidth="1"/>
    <col min="2" max="2" width="31.77734375" bestFit="1" customWidth="1"/>
    <col min="3" max="3" width="12" bestFit="1" customWidth="1"/>
    <col min="4" max="4" width="21" bestFit="1" customWidth="1"/>
    <col min="5" max="5" width="14.44140625" bestFit="1" customWidth="1"/>
    <col min="6" max="6" width="15.77734375" bestFit="1" customWidth="1"/>
    <col min="7" max="7" width="15" bestFit="1" customWidth="1"/>
    <col min="8" max="8" width="15.77734375" bestFit="1" customWidth="1"/>
  </cols>
  <sheetData>
    <row r="1" spans="1:8" x14ac:dyDescent="0.3">
      <c r="A1" t="s">
        <v>332</v>
      </c>
      <c r="B1" t="s">
        <v>333</v>
      </c>
      <c r="C1" t="s">
        <v>334</v>
      </c>
      <c r="D1" t="s">
        <v>335</v>
      </c>
      <c r="E1" t="s">
        <v>336</v>
      </c>
      <c r="F1" t="s">
        <v>337</v>
      </c>
      <c r="G1" t="s">
        <v>338</v>
      </c>
      <c r="H1" t="s">
        <v>339</v>
      </c>
    </row>
    <row r="2" spans="1:8" x14ac:dyDescent="0.3">
      <c r="A2">
        <v>6327</v>
      </c>
      <c r="B2" t="s">
        <v>300</v>
      </c>
      <c r="C2" t="s">
        <v>301</v>
      </c>
      <c r="D2" t="s">
        <v>301</v>
      </c>
      <c r="E2" t="s">
        <v>301</v>
      </c>
      <c r="F2" t="s">
        <v>301</v>
      </c>
      <c r="G2" s="22">
        <v>1</v>
      </c>
      <c r="H2" s="22">
        <v>401768</v>
      </c>
    </row>
    <row r="3" spans="1:8" x14ac:dyDescent="0.3">
      <c r="A3">
        <v>6495</v>
      </c>
      <c r="B3" t="s">
        <v>302</v>
      </c>
      <c r="C3" t="s">
        <v>301</v>
      </c>
      <c r="D3" t="s">
        <v>301</v>
      </c>
      <c r="E3" t="s">
        <v>301</v>
      </c>
      <c r="F3" t="s">
        <v>301</v>
      </c>
      <c r="G3" s="22">
        <v>1</v>
      </c>
      <c r="H3" s="22">
        <v>401768</v>
      </c>
    </row>
    <row r="4" spans="1:8" x14ac:dyDescent="0.3">
      <c r="A4">
        <v>6496</v>
      </c>
      <c r="B4" t="s">
        <v>303</v>
      </c>
      <c r="C4" t="s">
        <v>301</v>
      </c>
      <c r="D4" t="s">
        <v>301</v>
      </c>
      <c r="E4" t="s">
        <v>301</v>
      </c>
      <c r="F4" t="s">
        <v>301</v>
      </c>
      <c r="G4" s="22">
        <v>1</v>
      </c>
      <c r="H4" s="22">
        <v>401768</v>
      </c>
    </row>
    <row r="5" spans="1:8" x14ac:dyDescent="0.3">
      <c r="A5">
        <v>6497</v>
      </c>
      <c r="B5" t="s">
        <v>304</v>
      </c>
      <c r="C5" t="s">
        <v>301</v>
      </c>
      <c r="D5" t="s">
        <v>301</v>
      </c>
      <c r="E5" t="s">
        <v>301</v>
      </c>
      <c r="F5" t="s">
        <v>301</v>
      </c>
      <c r="G5" s="22">
        <v>1</v>
      </c>
      <c r="H5" s="22">
        <v>401768</v>
      </c>
    </row>
    <row r="6" spans="1:8" x14ac:dyDescent="0.3">
      <c r="A6">
        <v>6498</v>
      </c>
      <c r="B6" t="s">
        <v>305</v>
      </c>
      <c r="C6" t="s">
        <v>301</v>
      </c>
      <c r="D6" t="s">
        <v>301</v>
      </c>
      <c r="E6" t="s">
        <v>301</v>
      </c>
      <c r="F6" t="s">
        <v>301</v>
      </c>
      <c r="G6" s="22">
        <v>1</v>
      </c>
      <c r="H6" s="22">
        <v>401768</v>
      </c>
    </row>
    <row r="7" spans="1:8" x14ac:dyDescent="0.3">
      <c r="A7">
        <v>6499</v>
      </c>
      <c r="B7" t="s">
        <v>306</v>
      </c>
      <c r="C7" t="s">
        <v>301</v>
      </c>
      <c r="D7" t="s">
        <v>301</v>
      </c>
      <c r="E7" t="s">
        <v>301</v>
      </c>
      <c r="F7" t="s">
        <v>301</v>
      </c>
      <c r="G7" s="22">
        <v>1</v>
      </c>
      <c r="H7" s="22">
        <v>401768</v>
      </c>
    </row>
    <row r="8" spans="1:8" x14ac:dyDescent="0.3">
      <c r="A8">
        <v>6500</v>
      </c>
      <c r="B8" t="s">
        <v>307</v>
      </c>
      <c r="C8" t="s">
        <v>301</v>
      </c>
      <c r="D8" t="s">
        <v>301</v>
      </c>
      <c r="E8" t="s">
        <v>301</v>
      </c>
      <c r="F8" t="s">
        <v>301</v>
      </c>
      <c r="G8" s="22">
        <v>1</v>
      </c>
      <c r="H8" s="22">
        <v>401768</v>
      </c>
    </row>
    <row r="9" spans="1:8" x14ac:dyDescent="0.3">
      <c r="A9">
        <v>6501</v>
      </c>
      <c r="B9" t="s">
        <v>308</v>
      </c>
      <c r="C9" t="s">
        <v>301</v>
      </c>
      <c r="D9" t="s">
        <v>301</v>
      </c>
      <c r="E9" t="s">
        <v>301</v>
      </c>
      <c r="F9" t="s">
        <v>301</v>
      </c>
      <c r="G9" s="22">
        <v>1</v>
      </c>
      <c r="H9" s="22">
        <v>401768</v>
      </c>
    </row>
    <row r="10" spans="1:8" x14ac:dyDescent="0.3">
      <c r="A10">
        <v>6129</v>
      </c>
      <c r="B10" t="s">
        <v>309</v>
      </c>
      <c r="C10" t="s">
        <v>301</v>
      </c>
      <c r="D10" t="s">
        <v>301</v>
      </c>
      <c r="E10" t="s">
        <v>301</v>
      </c>
      <c r="F10" t="s">
        <v>301</v>
      </c>
      <c r="G10" s="22">
        <v>1</v>
      </c>
      <c r="H10" s="22">
        <v>401768</v>
      </c>
    </row>
    <row r="11" spans="1:8" x14ac:dyDescent="0.3">
      <c r="A11">
        <v>6128</v>
      </c>
      <c r="B11" t="s">
        <v>310</v>
      </c>
      <c r="C11" t="s">
        <v>301</v>
      </c>
      <c r="D11" t="s">
        <v>301</v>
      </c>
      <c r="E11" t="s">
        <v>301</v>
      </c>
      <c r="F11" t="s">
        <v>301</v>
      </c>
      <c r="G11" s="22">
        <v>1</v>
      </c>
      <c r="H11" s="22">
        <v>401768</v>
      </c>
    </row>
    <row r="12" spans="1:8" x14ac:dyDescent="0.3">
      <c r="A12">
        <v>6130</v>
      </c>
      <c r="B12" t="s">
        <v>311</v>
      </c>
      <c r="C12" t="s">
        <v>301</v>
      </c>
      <c r="D12" t="s">
        <v>301</v>
      </c>
      <c r="E12" t="s">
        <v>301</v>
      </c>
      <c r="F12" t="s">
        <v>301</v>
      </c>
      <c r="G12" s="22">
        <v>1</v>
      </c>
      <c r="H12" s="22">
        <v>401768</v>
      </c>
    </row>
    <row r="13" spans="1:8" x14ac:dyDescent="0.3">
      <c r="A13">
        <v>6131</v>
      </c>
      <c r="B13" t="s">
        <v>312</v>
      </c>
      <c r="C13" t="s">
        <v>301</v>
      </c>
      <c r="D13" t="s">
        <v>301</v>
      </c>
      <c r="E13" t="s">
        <v>301</v>
      </c>
      <c r="F13" t="s">
        <v>301</v>
      </c>
      <c r="G13" s="22">
        <v>1</v>
      </c>
      <c r="H13" s="22">
        <v>401768</v>
      </c>
    </row>
    <row r="14" spans="1:8" x14ac:dyDescent="0.3">
      <c r="A14">
        <v>6134</v>
      </c>
      <c r="B14" t="s">
        <v>313</v>
      </c>
      <c r="C14" t="s">
        <v>301</v>
      </c>
      <c r="D14" t="s">
        <v>301</v>
      </c>
      <c r="E14" t="s">
        <v>301</v>
      </c>
      <c r="F14" t="s">
        <v>301</v>
      </c>
      <c r="G14" s="22">
        <v>1</v>
      </c>
      <c r="H14" s="22">
        <v>401768</v>
      </c>
    </row>
    <row r="15" spans="1:8" x14ac:dyDescent="0.3">
      <c r="A15">
        <v>6135</v>
      </c>
      <c r="B15" t="s">
        <v>314</v>
      </c>
      <c r="C15" t="s">
        <v>301</v>
      </c>
      <c r="D15" t="s">
        <v>301</v>
      </c>
      <c r="E15" t="s">
        <v>301</v>
      </c>
      <c r="F15" t="s">
        <v>301</v>
      </c>
      <c r="G15" s="22">
        <v>1</v>
      </c>
      <c r="H15" s="22">
        <v>401768</v>
      </c>
    </row>
    <row r="16" spans="1:8" x14ac:dyDescent="0.3">
      <c r="A16">
        <v>6138</v>
      </c>
      <c r="B16" t="s">
        <v>315</v>
      </c>
      <c r="C16" t="s">
        <v>301</v>
      </c>
      <c r="D16" t="s">
        <v>301</v>
      </c>
      <c r="E16" t="s">
        <v>301</v>
      </c>
      <c r="F16" t="s">
        <v>301</v>
      </c>
      <c r="G16" s="22">
        <v>1</v>
      </c>
      <c r="H16" s="22">
        <v>401768</v>
      </c>
    </row>
    <row r="17" spans="1:8" x14ac:dyDescent="0.3">
      <c r="A17">
        <v>6136</v>
      </c>
      <c r="B17" t="s">
        <v>316</v>
      </c>
      <c r="C17" t="s">
        <v>301</v>
      </c>
      <c r="D17" t="s">
        <v>301</v>
      </c>
      <c r="E17" t="s">
        <v>301</v>
      </c>
      <c r="F17" t="s">
        <v>301</v>
      </c>
      <c r="G17" s="22">
        <v>1</v>
      </c>
      <c r="H17" s="22">
        <v>401768</v>
      </c>
    </row>
    <row r="18" spans="1:8" x14ac:dyDescent="0.3">
      <c r="A18">
        <v>6137</v>
      </c>
      <c r="B18" t="s">
        <v>317</v>
      </c>
      <c r="C18" t="s">
        <v>301</v>
      </c>
      <c r="D18" t="s">
        <v>301</v>
      </c>
      <c r="E18" t="s">
        <v>301</v>
      </c>
      <c r="F18" t="s">
        <v>301</v>
      </c>
      <c r="G18" s="22">
        <v>1</v>
      </c>
      <c r="H18" s="22">
        <v>401768</v>
      </c>
    </row>
    <row r="19" spans="1:8" x14ac:dyDescent="0.3">
      <c r="G19" s="22"/>
      <c r="H19" s="22"/>
    </row>
    <row r="20" spans="1:8" x14ac:dyDescent="0.3">
      <c r="G20" s="22"/>
      <c r="H20" s="22"/>
    </row>
    <row r="21" spans="1:8" x14ac:dyDescent="0.3">
      <c r="G21" s="22"/>
      <c r="H21" s="22"/>
    </row>
    <row r="22" spans="1:8" x14ac:dyDescent="0.3">
      <c r="G22" s="22"/>
      <c r="H22" s="22"/>
    </row>
    <row r="23" spans="1:8" x14ac:dyDescent="0.3">
      <c r="G23" s="22"/>
      <c r="H23" s="22"/>
    </row>
    <row r="24" spans="1:8" x14ac:dyDescent="0.3">
      <c r="G24" s="22"/>
      <c r="H24" s="22"/>
    </row>
    <row r="25" spans="1:8" x14ac:dyDescent="0.3">
      <c r="G25" s="22"/>
      <c r="H25" s="22"/>
    </row>
    <row r="26" spans="1:8" x14ac:dyDescent="0.3">
      <c r="G26" s="22"/>
      <c r="H26" s="22"/>
    </row>
    <row r="27" spans="1:8" x14ac:dyDescent="0.3">
      <c r="G27" s="22"/>
      <c r="H27" s="22"/>
    </row>
    <row r="28" spans="1:8" x14ac:dyDescent="0.3">
      <c r="G28" s="22"/>
      <c r="H28" s="22"/>
    </row>
    <row r="29" spans="1:8" x14ac:dyDescent="0.3">
      <c r="G29" s="22"/>
      <c r="H29" s="22"/>
    </row>
    <row r="30" spans="1:8" x14ac:dyDescent="0.3">
      <c r="G30" s="22"/>
      <c r="H30" s="22"/>
    </row>
    <row r="31" spans="1:8" x14ac:dyDescent="0.3">
      <c r="G31" s="22"/>
      <c r="H31" s="22"/>
    </row>
    <row r="32" spans="1:8" x14ac:dyDescent="0.3">
      <c r="G32" s="22"/>
      <c r="H32" s="2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C17"/>
  <sheetViews>
    <sheetView workbookViewId="0">
      <selection activeCell="L3" sqref="L3"/>
    </sheetView>
  </sheetViews>
  <sheetFormatPr defaultRowHeight="14.4" x14ac:dyDescent="0.3"/>
  <cols>
    <col min="1" max="1" width="7.6640625" bestFit="1" customWidth="1"/>
    <col min="2" max="2" width="21.5546875" bestFit="1" customWidth="1"/>
    <col min="3" max="3" width="5.5546875" bestFit="1" customWidth="1"/>
  </cols>
  <sheetData>
    <row r="1" spans="1:3" x14ac:dyDescent="0.3">
      <c r="A1" t="s">
        <v>250</v>
      </c>
      <c r="B1" t="s">
        <v>112</v>
      </c>
      <c r="C1" t="s">
        <v>113</v>
      </c>
    </row>
    <row r="2" spans="1:3" x14ac:dyDescent="0.3">
      <c r="A2">
        <v>6</v>
      </c>
      <c r="B2" t="s">
        <v>340</v>
      </c>
      <c r="C2">
        <v>5151</v>
      </c>
    </row>
    <row r="3" spans="1:3" x14ac:dyDescent="0.3">
      <c r="A3">
        <v>7</v>
      </c>
      <c r="B3" t="s">
        <v>340</v>
      </c>
      <c r="C3">
        <v>5152</v>
      </c>
    </row>
    <row r="4" spans="1:3" x14ac:dyDescent="0.3">
      <c r="A4">
        <v>8</v>
      </c>
      <c r="B4" t="s">
        <v>340</v>
      </c>
      <c r="C4">
        <v>5153</v>
      </c>
    </row>
    <row r="5" spans="1:3" x14ac:dyDescent="0.3">
      <c r="A5">
        <v>9</v>
      </c>
      <c r="B5" t="s">
        <v>340</v>
      </c>
      <c r="C5">
        <v>5154</v>
      </c>
    </row>
    <row r="6" spans="1:3" x14ac:dyDescent="0.3">
      <c r="A6">
        <v>10</v>
      </c>
      <c r="B6" t="s">
        <v>340</v>
      </c>
      <c r="C6">
        <v>5155</v>
      </c>
    </row>
    <row r="7" spans="1:3" x14ac:dyDescent="0.3">
      <c r="A7">
        <v>11</v>
      </c>
      <c r="B7" t="s">
        <v>340</v>
      </c>
      <c r="C7">
        <v>5156</v>
      </c>
    </row>
    <row r="8" spans="1:3" x14ac:dyDescent="0.3">
      <c r="A8">
        <v>12</v>
      </c>
      <c r="B8" t="s">
        <v>340</v>
      </c>
      <c r="C8">
        <v>5157</v>
      </c>
    </row>
    <row r="9" spans="1:3" x14ac:dyDescent="0.3">
      <c r="A9">
        <v>13</v>
      </c>
      <c r="B9" t="s">
        <v>340</v>
      </c>
      <c r="C9">
        <v>5158</v>
      </c>
    </row>
    <row r="10" spans="1:3" x14ac:dyDescent="0.3">
      <c r="A10">
        <v>14</v>
      </c>
      <c r="B10" t="s">
        <v>340</v>
      </c>
      <c r="C10">
        <v>5159</v>
      </c>
    </row>
    <row r="11" spans="1:3" x14ac:dyDescent="0.3">
      <c r="A11">
        <v>15</v>
      </c>
      <c r="B11" t="s">
        <v>340</v>
      </c>
      <c r="C11">
        <v>5160</v>
      </c>
    </row>
    <row r="12" spans="1:3" x14ac:dyDescent="0.3">
      <c r="A12">
        <v>16</v>
      </c>
      <c r="B12" t="s">
        <v>340</v>
      </c>
      <c r="C12">
        <v>5161</v>
      </c>
    </row>
    <row r="13" spans="1:3" x14ac:dyDescent="0.3">
      <c r="A13">
        <v>17</v>
      </c>
      <c r="B13" t="s">
        <v>340</v>
      </c>
      <c r="C13">
        <v>5162</v>
      </c>
    </row>
    <row r="14" spans="1:3" x14ac:dyDescent="0.3">
      <c r="A14">
        <v>18</v>
      </c>
      <c r="B14" t="s">
        <v>340</v>
      </c>
      <c r="C14">
        <v>5163</v>
      </c>
    </row>
    <row r="15" spans="1:3" x14ac:dyDescent="0.3">
      <c r="A15">
        <v>19</v>
      </c>
      <c r="B15" t="s">
        <v>340</v>
      </c>
      <c r="C15">
        <v>5164</v>
      </c>
    </row>
    <row r="16" spans="1:3" x14ac:dyDescent="0.3">
      <c r="A16">
        <v>20</v>
      </c>
      <c r="B16" t="s">
        <v>340</v>
      </c>
      <c r="C16">
        <v>5165</v>
      </c>
    </row>
    <row r="17" spans="1:3" x14ac:dyDescent="0.3">
      <c r="A17">
        <v>21</v>
      </c>
      <c r="B17" t="s">
        <v>340</v>
      </c>
      <c r="C17">
        <v>5166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
  <sheetViews>
    <sheetView workbookViewId="0"/>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
  <sheetViews>
    <sheetView workbookViewId="0"/>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
  <sheetViews>
    <sheetView workbookViewId="0"/>
  </sheetViews>
  <sheetFormatPr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tabColor theme="9" tint="0.59999389629810485"/>
  </sheetPr>
  <dimension ref="A1:T46"/>
  <sheetViews>
    <sheetView topLeftCell="C29" workbookViewId="0">
      <selection activeCell="F44" sqref="F44"/>
    </sheetView>
  </sheetViews>
  <sheetFormatPr defaultRowHeight="14.4" x14ac:dyDescent="0.3"/>
  <cols>
    <col min="1" max="1" width="9.109375" bestFit="1" customWidth="1"/>
    <col min="2" max="2" width="10.6640625" bestFit="1" customWidth="1"/>
    <col min="3" max="3" width="12.109375" bestFit="1" customWidth="1"/>
    <col min="4" max="4" width="23.88671875" bestFit="1" customWidth="1"/>
    <col min="5" max="5" width="9.6640625" bestFit="1" customWidth="1"/>
    <col min="6" max="6" width="9.109375" bestFit="1" customWidth="1"/>
    <col min="7" max="7" width="12.33203125" bestFit="1" customWidth="1"/>
    <col min="8" max="8" width="11.5546875" bestFit="1" customWidth="1"/>
    <col min="10" max="10" width="7" bestFit="1" customWidth="1"/>
    <col min="11" max="11" width="11.109375" bestFit="1" customWidth="1"/>
    <col min="12" max="12" width="8.6640625" bestFit="1" customWidth="1"/>
    <col min="13" max="13" width="23.6640625" bestFit="1" customWidth="1"/>
    <col min="14" max="14" width="7.33203125" bestFit="1" customWidth="1"/>
    <col min="15" max="15" width="6.6640625" bestFit="1" customWidth="1"/>
    <col min="16" max="16" width="8.33203125" bestFit="1" customWidth="1"/>
    <col min="18" max="18" width="9.5546875" bestFit="1" customWidth="1"/>
    <col min="19" max="19" width="8.88671875" bestFit="1" customWidth="1"/>
    <col min="20" max="20" width="10.44140625" bestFit="1" customWidth="1"/>
  </cols>
  <sheetData>
    <row r="1" spans="1:20" x14ac:dyDescent="0.3">
      <c r="A1" t="s">
        <v>0</v>
      </c>
      <c r="B1" t="s">
        <v>5</v>
      </c>
      <c r="C1" t="s">
        <v>1</v>
      </c>
      <c r="D1" t="s">
        <v>2</v>
      </c>
      <c r="E1" t="s">
        <v>6</v>
      </c>
      <c r="F1" t="s">
        <v>7</v>
      </c>
      <c r="G1" t="s">
        <v>8</v>
      </c>
      <c r="H1" t="s">
        <v>9</v>
      </c>
      <c r="J1" t="s">
        <v>0</v>
      </c>
      <c r="K1" t="s">
        <v>114</v>
      </c>
      <c r="L1" t="s">
        <v>115</v>
      </c>
      <c r="M1" t="s">
        <v>116</v>
      </c>
      <c r="N1" t="s">
        <v>6</v>
      </c>
      <c r="O1" t="s">
        <v>7</v>
      </c>
      <c r="P1" t="s">
        <v>117</v>
      </c>
      <c r="R1" s="23" t="s">
        <v>6</v>
      </c>
      <c r="S1" s="23" t="s">
        <v>7</v>
      </c>
      <c r="T1" s="23" t="s">
        <v>117</v>
      </c>
    </row>
    <row r="2" spans="1:20" x14ac:dyDescent="0.3">
      <c r="A2" t="s">
        <v>10</v>
      </c>
      <c r="B2" s="47">
        <v>42887</v>
      </c>
      <c r="C2">
        <v>6106</v>
      </c>
      <c r="D2" t="s">
        <v>268</v>
      </c>
      <c r="E2">
        <v>8357</v>
      </c>
      <c r="F2">
        <v>0</v>
      </c>
      <c r="G2">
        <v>8357</v>
      </c>
      <c r="H2">
        <v>0</v>
      </c>
      <c r="J2" t="s">
        <v>118</v>
      </c>
      <c r="K2" s="22">
        <v>42887</v>
      </c>
      <c r="L2">
        <v>6106</v>
      </c>
      <c r="M2" t="s">
        <v>268</v>
      </c>
      <c r="N2">
        <v>8365</v>
      </c>
      <c r="O2">
        <v>0</v>
      </c>
      <c r="P2">
        <v>0</v>
      </c>
      <c r="R2" t="b">
        <f>Table_ExternalData_142[[#This Row],[Offered]]=N2</f>
        <v>0</v>
      </c>
      <c r="S2" t="b">
        <f>Table_ExternalData_142[[#This Row],[Handle]]=O2</f>
        <v>1</v>
      </c>
      <c r="T2" t="b">
        <f>P2=Table_ExternalData_142[[#This Row],[TotAband]]</f>
        <v>1</v>
      </c>
    </row>
    <row r="3" spans="1:20" x14ac:dyDescent="0.3">
      <c r="A3" t="s">
        <v>10</v>
      </c>
      <c r="B3" s="47">
        <v>42887</v>
      </c>
      <c r="C3">
        <v>6107</v>
      </c>
      <c r="D3" t="s">
        <v>269</v>
      </c>
      <c r="E3">
        <v>457</v>
      </c>
      <c r="F3">
        <v>0</v>
      </c>
      <c r="G3">
        <v>457</v>
      </c>
      <c r="H3">
        <v>0</v>
      </c>
      <c r="J3" t="s">
        <v>118</v>
      </c>
      <c r="K3" s="22">
        <v>42887</v>
      </c>
      <c r="L3">
        <v>6107</v>
      </c>
      <c r="M3" t="s">
        <v>269</v>
      </c>
      <c r="N3">
        <v>456</v>
      </c>
      <c r="O3">
        <v>0</v>
      </c>
      <c r="P3">
        <v>0</v>
      </c>
      <c r="R3" t="b">
        <f>Table_ExternalData_142[[#This Row],[Offered]]=N3</f>
        <v>0</v>
      </c>
      <c r="S3" t="b">
        <f>Table_ExternalData_142[[#This Row],[Handle]]=O3</f>
        <v>1</v>
      </c>
      <c r="T3" t="b">
        <f>P3=Table_ExternalData_142[[#This Row],[TotAband]]</f>
        <v>1</v>
      </c>
    </row>
    <row r="4" spans="1:20" x14ac:dyDescent="0.3">
      <c r="A4" t="s">
        <v>10</v>
      </c>
      <c r="B4" s="47">
        <v>42887</v>
      </c>
      <c r="C4">
        <v>6108</v>
      </c>
      <c r="D4" t="s">
        <v>253</v>
      </c>
      <c r="E4">
        <v>5041</v>
      </c>
      <c r="F4">
        <v>4990</v>
      </c>
      <c r="G4">
        <v>51</v>
      </c>
      <c r="H4">
        <v>47</v>
      </c>
      <c r="J4" t="s">
        <v>118</v>
      </c>
      <c r="K4" s="22">
        <v>42887</v>
      </c>
      <c r="L4">
        <v>6108</v>
      </c>
      <c r="M4" t="s">
        <v>253</v>
      </c>
      <c r="N4">
        <v>5041</v>
      </c>
      <c r="O4">
        <v>4990</v>
      </c>
      <c r="P4">
        <v>47</v>
      </c>
      <c r="R4" t="b">
        <f>Table_ExternalData_142[[#This Row],[Offered]]=N4</f>
        <v>1</v>
      </c>
      <c r="S4" t="b">
        <f>Table_ExternalData_142[[#This Row],[Handle]]=O4</f>
        <v>1</v>
      </c>
      <c r="T4" t="b">
        <f>P4=Table_ExternalData_142[[#This Row],[TotAband]]</f>
        <v>1</v>
      </c>
    </row>
    <row r="5" spans="1:20" x14ac:dyDescent="0.3">
      <c r="A5" t="s">
        <v>10</v>
      </c>
      <c r="B5" s="47">
        <v>42887</v>
      </c>
      <c r="C5">
        <v>6109</v>
      </c>
      <c r="D5" t="s">
        <v>255</v>
      </c>
      <c r="E5">
        <v>860</v>
      </c>
      <c r="F5">
        <v>857</v>
      </c>
      <c r="G5">
        <v>3</v>
      </c>
      <c r="H5">
        <v>2</v>
      </c>
      <c r="J5" t="s">
        <v>118</v>
      </c>
      <c r="K5" s="22">
        <v>42887</v>
      </c>
      <c r="L5">
        <v>6109</v>
      </c>
      <c r="M5" t="s">
        <v>255</v>
      </c>
      <c r="N5">
        <v>860</v>
      </c>
      <c r="O5">
        <v>857</v>
      </c>
      <c r="P5">
        <v>2</v>
      </c>
      <c r="R5" t="b">
        <f>Table_ExternalData_142[[#This Row],[Offered]]=N5</f>
        <v>1</v>
      </c>
      <c r="S5" t="b">
        <f>Table_ExternalData_142[[#This Row],[Handle]]=O5</f>
        <v>1</v>
      </c>
      <c r="T5" t="b">
        <f>P5=Table_ExternalData_142[[#This Row],[TotAband]]</f>
        <v>1</v>
      </c>
    </row>
    <row r="6" spans="1:20" x14ac:dyDescent="0.3">
      <c r="A6" t="s">
        <v>10</v>
      </c>
      <c r="B6" s="47">
        <v>42887</v>
      </c>
      <c r="C6">
        <v>6110</v>
      </c>
      <c r="D6" t="s">
        <v>270</v>
      </c>
      <c r="E6">
        <v>3</v>
      </c>
      <c r="F6">
        <v>3</v>
      </c>
      <c r="G6">
        <v>0</v>
      </c>
      <c r="H6">
        <v>0</v>
      </c>
      <c r="J6" t="s">
        <v>118</v>
      </c>
      <c r="K6" s="22">
        <v>42887</v>
      </c>
      <c r="L6">
        <v>6110</v>
      </c>
      <c r="M6" t="s">
        <v>270</v>
      </c>
      <c r="N6">
        <v>3</v>
      </c>
      <c r="O6">
        <v>3</v>
      </c>
      <c r="P6">
        <v>0</v>
      </c>
      <c r="R6" t="b">
        <f>Table_ExternalData_142[[#This Row],[Offered]]=N6</f>
        <v>1</v>
      </c>
      <c r="S6" t="b">
        <f>Table_ExternalData_142[[#This Row],[Handle]]=O6</f>
        <v>1</v>
      </c>
      <c r="T6" t="b">
        <f>P6=Table_ExternalData_142[[#This Row],[TotAband]]</f>
        <v>1</v>
      </c>
    </row>
    <row r="7" spans="1:20" x14ac:dyDescent="0.3">
      <c r="A7" t="s">
        <v>10</v>
      </c>
      <c r="B7" s="47">
        <v>42887</v>
      </c>
      <c r="C7">
        <v>6111</v>
      </c>
      <c r="D7" t="s">
        <v>271</v>
      </c>
      <c r="E7">
        <v>3</v>
      </c>
      <c r="F7">
        <v>0</v>
      </c>
      <c r="G7">
        <v>3</v>
      </c>
      <c r="H7">
        <v>0</v>
      </c>
      <c r="J7" t="s">
        <v>118</v>
      </c>
      <c r="K7" s="22">
        <v>42887</v>
      </c>
      <c r="L7">
        <v>6111</v>
      </c>
      <c r="M7" t="s">
        <v>271</v>
      </c>
      <c r="N7">
        <v>3</v>
      </c>
      <c r="O7">
        <v>0</v>
      </c>
      <c r="P7">
        <v>0</v>
      </c>
      <c r="R7" t="b">
        <f>Table_ExternalData_142[[#This Row],[Offered]]=N7</f>
        <v>1</v>
      </c>
      <c r="S7" t="b">
        <f>Table_ExternalData_142[[#This Row],[Handle]]=O7</f>
        <v>1</v>
      </c>
      <c r="T7" t="b">
        <f>P7=Table_ExternalData_142[[#This Row],[TotAband]]</f>
        <v>1</v>
      </c>
    </row>
    <row r="8" spans="1:20" x14ac:dyDescent="0.3">
      <c r="A8" t="s">
        <v>10</v>
      </c>
      <c r="B8" s="47">
        <v>42887</v>
      </c>
      <c r="C8">
        <v>6112</v>
      </c>
      <c r="D8" t="s">
        <v>264</v>
      </c>
      <c r="E8">
        <v>1</v>
      </c>
      <c r="F8">
        <v>1</v>
      </c>
      <c r="G8">
        <v>0</v>
      </c>
      <c r="H8">
        <v>0</v>
      </c>
      <c r="J8" t="s">
        <v>118</v>
      </c>
      <c r="K8" s="22">
        <v>42887</v>
      </c>
      <c r="L8">
        <v>6112</v>
      </c>
      <c r="M8" t="s">
        <v>264</v>
      </c>
      <c r="N8">
        <v>1</v>
      </c>
      <c r="O8">
        <v>1</v>
      </c>
      <c r="P8">
        <v>0</v>
      </c>
      <c r="R8" t="b">
        <f>Table_ExternalData_142[[#This Row],[Offered]]=N8</f>
        <v>1</v>
      </c>
      <c r="S8" t="b">
        <f>Table_ExternalData_142[[#This Row],[Handle]]=O8</f>
        <v>1</v>
      </c>
      <c r="T8" t="b">
        <f>P8=Table_ExternalData_142[[#This Row],[TotAband]]</f>
        <v>1</v>
      </c>
    </row>
    <row r="9" spans="1:20" x14ac:dyDescent="0.3">
      <c r="A9" t="s">
        <v>10</v>
      </c>
      <c r="B9" s="47">
        <v>42887</v>
      </c>
      <c r="C9">
        <v>6113</v>
      </c>
      <c r="D9" t="s">
        <v>256</v>
      </c>
      <c r="E9">
        <v>48</v>
      </c>
      <c r="F9">
        <v>47</v>
      </c>
      <c r="G9">
        <v>1</v>
      </c>
      <c r="H9">
        <v>0</v>
      </c>
      <c r="J9" t="s">
        <v>118</v>
      </c>
      <c r="K9" s="22">
        <v>42887</v>
      </c>
      <c r="L9">
        <v>6113</v>
      </c>
      <c r="M9" t="s">
        <v>256</v>
      </c>
      <c r="N9">
        <v>48</v>
      </c>
      <c r="O9">
        <v>47</v>
      </c>
      <c r="P9">
        <v>0</v>
      </c>
      <c r="R9" t="b">
        <f>Table_ExternalData_142[[#This Row],[Offered]]=N9</f>
        <v>1</v>
      </c>
      <c r="S9" t="b">
        <f>Table_ExternalData_142[[#This Row],[Handle]]=O9</f>
        <v>1</v>
      </c>
      <c r="T9" t="b">
        <f>P9=Table_ExternalData_142[[#This Row],[TotAband]]</f>
        <v>1</v>
      </c>
    </row>
    <row r="10" spans="1:20" s="33" customFormat="1" x14ac:dyDescent="0.3">
      <c r="A10" s="33" t="s">
        <v>10</v>
      </c>
      <c r="B10" s="55">
        <v>42887</v>
      </c>
      <c r="C10" s="33">
        <v>6114</v>
      </c>
      <c r="D10" s="33" t="s">
        <v>260</v>
      </c>
      <c r="E10" s="33">
        <v>37</v>
      </c>
      <c r="F10" s="33">
        <v>25</v>
      </c>
      <c r="G10" s="33">
        <v>12</v>
      </c>
      <c r="H10" s="33">
        <v>6</v>
      </c>
      <c r="J10" s="33" t="s">
        <v>118</v>
      </c>
      <c r="K10" s="34">
        <v>42887</v>
      </c>
      <c r="L10" s="33">
        <v>6114</v>
      </c>
      <c r="M10" s="33" t="s">
        <v>260</v>
      </c>
      <c r="N10" s="33">
        <v>37</v>
      </c>
      <c r="O10" s="33">
        <v>25</v>
      </c>
      <c r="P10" s="33">
        <v>6</v>
      </c>
      <c r="R10" s="33" t="b">
        <f>Table_ExternalData_142[[#This Row],[Offered]]=N10</f>
        <v>1</v>
      </c>
      <c r="S10" s="33" t="b">
        <f>Table_ExternalData_142[[#This Row],[Handle]]=O10</f>
        <v>1</v>
      </c>
      <c r="T10" s="33" t="b">
        <f>P10=Table_ExternalData_142[[#This Row],[TotAband]]</f>
        <v>1</v>
      </c>
    </row>
    <row r="11" spans="1:20" x14ac:dyDescent="0.3">
      <c r="A11" t="s">
        <v>10</v>
      </c>
      <c r="B11" s="47">
        <v>42887</v>
      </c>
      <c r="C11">
        <v>6115</v>
      </c>
      <c r="D11" t="s">
        <v>257</v>
      </c>
      <c r="E11">
        <v>69</v>
      </c>
      <c r="F11">
        <v>62</v>
      </c>
      <c r="G11">
        <v>7</v>
      </c>
      <c r="H11">
        <v>6</v>
      </c>
      <c r="J11" t="s">
        <v>118</v>
      </c>
      <c r="K11" s="22">
        <v>42887</v>
      </c>
      <c r="L11">
        <v>6115</v>
      </c>
      <c r="M11" t="s">
        <v>257</v>
      </c>
      <c r="N11">
        <v>69</v>
      </c>
      <c r="O11">
        <v>62</v>
      </c>
      <c r="P11">
        <v>6</v>
      </c>
      <c r="R11" s="33" t="b">
        <f>Table_ExternalData_142[[#This Row],[Offered]]=N11</f>
        <v>1</v>
      </c>
      <c r="S11" s="33" t="b">
        <f>Table_ExternalData_142[[#This Row],[Handle]]=O11</f>
        <v>1</v>
      </c>
      <c r="T11" s="33" t="b">
        <f>P11=Table_ExternalData_142[[#This Row],[TotAband]]</f>
        <v>1</v>
      </c>
    </row>
    <row r="12" spans="1:20" x14ac:dyDescent="0.3">
      <c r="A12" t="s">
        <v>10</v>
      </c>
      <c r="B12" s="47">
        <v>42887</v>
      </c>
      <c r="C12">
        <v>6116</v>
      </c>
      <c r="D12" t="s">
        <v>272</v>
      </c>
      <c r="E12">
        <v>271</v>
      </c>
      <c r="F12">
        <v>0</v>
      </c>
      <c r="G12">
        <v>271</v>
      </c>
      <c r="H12">
        <v>0</v>
      </c>
      <c r="J12" t="s">
        <v>118</v>
      </c>
      <c r="K12" s="22">
        <v>42887</v>
      </c>
      <c r="L12">
        <v>6116</v>
      </c>
      <c r="M12" t="s">
        <v>272</v>
      </c>
      <c r="N12">
        <v>271</v>
      </c>
      <c r="O12">
        <v>0</v>
      </c>
      <c r="P12">
        <v>0</v>
      </c>
      <c r="R12" s="33" t="b">
        <f>Table_ExternalData_142[[#This Row],[Offered]]=N12</f>
        <v>1</v>
      </c>
      <c r="S12" s="33" t="b">
        <f>Table_ExternalData_142[[#This Row],[Handle]]=O12</f>
        <v>1</v>
      </c>
      <c r="T12" s="33" t="b">
        <f>P12=Table_ExternalData_142[[#This Row],[TotAband]]</f>
        <v>1</v>
      </c>
    </row>
    <row r="13" spans="1:20" hidden="1" x14ac:dyDescent="0.3">
      <c r="A13" t="s">
        <v>10</v>
      </c>
      <c r="B13" s="47">
        <v>42887</v>
      </c>
      <c r="C13">
        <v>6117</v>
      </c>
      <c r="D13" t="s">
        <v>261</v>
      </c>
      <c r="E13">
        <v>11</v>
      </c>
      <c r="F13">
        <v>10</v>
      </c>
      <c r="G13">
        <v>1</v>
      </c>
      <c r="H13">
        <v>1</v>
      </c>
      <c r="J13" t="s">
        <v>118</v>
      </c>
      <c r="K13" s="22">
        <v>42887</v>
      </c>
      <c r="L13">
        <v>6117</v>
      </c>
      <c r="M13" t="s">
        <v>261</v>
      </c>
      <c r="N13">
        <v>11</v>
      </c>
      <c r="O13">
        <v>10</v>
      </c>
      <c r="P13">
        <v>1</v>
      </c>
      <c r="R13" s="33" t="b">
        <f>Table_ExternalData_142[[#This Row],[Offered]]=N13</f>
        <v>1</v>
      </c>
      <c r="S13" s="33" t="b">
        <f>Table_ExternalData_142[[#This Row],[Handle]]=O13</f>
        <v>1</v>
      </c>
      <c r="T13" s="33" t="b">
        <f>P13=Table_ExternalData_142[[#This Row],[TotAband]]</f>
        <v>1</v>
      </c>
    </row>
    <row r="14" spans="1:20" x14ac:dyDescent="0.3">
      <c r="A14" t="s">
        <v>10</v>
      </c>
      <c r="B14" s="47">
        <v>42887</v>
      </c>
      <c r="C14">
        <v>6118</v>
      </c>
      <c r="D14" t="s">
        <v>265</v>
      </c>
      <c r="E14">
        <v>44</v>
      </c>
      <c r="F14">
        <v>38</v>
      </c>
      <c r="G14">
        <v>6</v>
      </c>
      <c r="H14">
        <v>5</v>
      </c>
      <c r="J14" t="s">
        <v>118</v>
      </c>
      <c r="K14" s="22">
        <v>42887</v>
      </c>
      <c r="L14">
        <v>6118</v>
      </c>
      <c r="M14" t="s">
        <v>265</v>
      </c>
      <c r="N14">
        <v>44</v>
      </c>
      <c r="O14">
        <v>38</v>
      </c>
      <c r="P14">
        <v>5</v>
      </c>
      <c r="R14" s="33" t="b">
        <f>Table_ExternalData_142[[#This Row],[Offered]]=N14</f>
        <v>1</v>
      </c>
      <c r="S14" s="33" t="b">
        <f>Table_ExternalData_142[[#This Row],[Handle]]=O14</f>
        <v>1</v>
      </c>
      <c r="T14" s="33" t="b">
        <f>P14=Table_ExternalData_142[[#This Row],[TotAband]]</f>
        <v>1</v>
      </c>
    </row>
    <row r="15" spans="1:20" x14ac:dyDescent="0.3">
      <c r="A15" t="s">
        <v>10</v>
      </c>
      <c r="B15" s="47">
        <v>42887</v>
      </c>
      <c r="C15">
        <v>6119</v>
      </c>
      <c r="D15" t="s">
        <v>258</v>
      </c>
      <c r="E15">
        <v>83</v>
      </c>
      <c r="F15">
        <v>79</v>
      </c>
      <c r="G15">
        <v>4</v>
      </c>
      <c r="H15">
        <v>3</v>
      </c>
      <c r="J15" t="s">
        <v>118</v>
      </c>
      <c r="K15" s="22">
        <v>42887</v>
      </c>
      <c r="L15">
        <v>6119</v>
      </c>
      <c r="M15" t="s">
        <v>258</v>
      </c>
      <c r="N15">
        <v>83</v>
      </c>
      <c r="O15">
        <v>79</v>
      </c>
      <c r="P15">
        <v>3</v>
      </c>
      <c r="R15" s="33" t="b">
        <f>Table_ExternalData_142[[#This Row],[Offered]]=N15</f>
        <v>1</v>
      </c>
      <c r="S15" s="33" t="b">
        <f>Table_ExternalData_142[[#This Row],[Handle]]=O15</f>
        <v>1</v>
      </c>
      <c r="T15" s="33" t="b">
        <f>P15=Table_ExternalData_142[[#This Row],[TotAband]]</f>
        <v>1</v>
      </c>
    </row>
    <row r="16" spans="1:20" x14ac:dyDescent="0.3">
      <c r="A16" t="s">
        <v>10</v>
      </c>
      <c r="B16" s="47">
        <v>42887</v>
      </c>
      <c r="C16">
        <v>6120</v>
      </c>
      <c r="D16" t="s">
        <v>263</v>
      </c>
      <c r="E16">
        <v>26</v>
      </c>
      <c r="F16">
        <v>23</v>
      </c>
      <c r="G16">
        <v>3</v>
      </c>
      <c r="H16">
        <v>2</v>
      </c>
      <c r="J16" t="s">
        <v>118</v>
      </c>
      <c r="K16" s="22">
        <v>42887</v>
      </c>
      <c r="L16">
        <v>6120</v>
      </c>
      <c r="M16" t="s">
        <v>263</v>
      </c>
      <c r="N16">
        <v>26</v>
      </c>
      <c r="O16">
        <v>23</v>
      </c>
      <c r="P16">
        <v>2</v>
      </c>
      <c r="R16" s="33" t="b">
        <f>Table_ExternalData_142[[#This Row],[Offered]]=N16</f>
        <v>1</v>
      </c>
      <c r="S16" s="33" t="b">
        <f>Table_ExternalData_142[[#This Row],[Handle]]=O16</f>
        <v>1</v>
      </c>
      <c r="T16" s="33" t="b">
        <f>P16=Table_ExternalData_142[[#This Row],[TotAband]]</f>
        <v>1</v>
      </c>
    </row>
    <row r="17" spans="1:20" x14ac:dyDescent="0.3">
      <c r="A17" t="s">
        <v>10</v>
      </c>
      <c r="B17" s="47">
        <v>42887</v>
      </c>
      <c r="C17">
        <v>6121</v>
      </c>
      <c r="D17" t="s">
        <v>262</v>
      </c>
      <c r="E17">
        <v>19</v>
      </c>
      <c r="F17">
        <v>17</v>
      </c>
      <c r="G17">
        <v>2</v>
      </c>
      <c r="H17">
        <v>2</v>
      </c>
      <c r="J17" t="s">
        <v>118</v>
      </c>
      <c r="K17" s="22">
        <v>42887</v>
      </c>
      <c r="L17">
        <v>6121</v>
      </c>
      <c r="M17" t="s">
        <v>262</v>
      </c>
      <c r="N17">
        <v>19</v>
      </c>
      <c r="O17">
        <v>17</v>
      </c>
      <c r="P17">
        <v>2</v>
      </c>
      <c r="R17" s="33" t="b">
        <f>Table_ExternalData_142[[#This Row],[Offered]]=N17</f>
        <v>1</v>
      </c>
      <c r="S17" s="33" t="b">
        <f>Table_ExternalData_142[[#This Row],[Handle]]=O17</f>
        <v>1</v>
      </c>
      <c r="T17" s="33" t="b">
        <f>P17=Table_ExternalData_142[[#This Row],[TotAband]]</f>
        <v>1</v>
      </c>
    </row>
    <row r="18" spans="1:20" x14ac:dyDescent="0.3">
      <c r="A18" t="s">
        <v>10</v>
      </c>
      <c r="B18" s="47">
        <v>42887</v>
      </c>
      <c r="C18">
        <v>6122</v>
      </c>
      <c r="D18" t="s">
        <v>259</v>
      </c>
      <c r="E18">
        <v>44</v>
      </c>
      <c r="F18">
        <v>40</v>
      </c>
      <c r="G18">
        <v>4</v>
      </c>
      <c r="H18">
        <v>4</v>
      </c>
      <c r="J18" t="s">
        <v>118</v>
      </c>
      <c r="K18" s="22">
        <v>42887</v>
      </c>
      <c r="L18">
        <v>6122</v>
      </c>
      <c r="M18" t="s">
        <v>259</v>
      </c>
      <c r="N18">
        <v>44</v>
      </c>
      <c r="O18">
        <v>40</v>
      </c>
      <c r="P18">
        <v>4</v>
      </c>
      <c r="R18" s="33" t="b">
        <f>Table_ExternalData_142[[#This Row],[Offered]]=N18</f>
        <v>1</v>
      </c>
      <c r="S18" s="33" t="b">
        <f>Table_ExternalData_142[[#This Row],[Handle]]=O18</f>
        <v>1</v>
      </c>
      <c r="T18" s="33" t="b">
        <f>P18=Table_ExternalData_142[[#This Row],[TotAband]]</f>
        <v>1</v>
      </c>
    </row>
    <row r="19" spans="1:20" x14ac:dyDescent="0.3">
      <c r="A19" t="s">
        <v>10</v>
      </c>
      <c r="B19" s="47">
        <v>42887</v>
      </c>
      <c r="C19">
        <v>6123</v>
      </c>
      <c r="D19" t="s">
        <v>273</v>
      </c>
      <c r="E19">
        <v>23</v>
      </c>
      <c r="F19">
        <v>23</v>
      </c>
      <c r="G19">
        <v>0</v>
      </c>
      <c r="H19">
        <v>0</v>
      </c>
      <c r="J19" t="s">
        <v>118</v>
      </c>
      <c r="K19" s="22">
        <v>42887</v>
      </c>
      <c r="L19">
        <v>6123</v>
      </c>
      <c r="M19" t="s">
        <v>273</v>
      </c>
      <c r="N19">
        <v>23</v>
      </c>
      <c r="O19">
        <v>23</v>
      </c>
      <c r="P19">
        <v>0</v>
      </c>
      <c r="R19" s="33" t="b">
        <f>Table_ExternalData_142[[#This Row],[Offered]]=N19</f>
        <v>1</v>
      </c>
      <c r="S19" s="33" t="b">
        <f>Table_ExternalData_142[[#This Row],[Handle]]=O19</f>
        <v>1</v>
      </c>
      <c r="T19" s="33" t="b">
        <f>P19=Table_ExternalData_142[[#This Row],[TotAband]]</f>
        <v>1</v>
      </c>
    </row>
    <row r="20" spans="1:20" x14ac:dyDescent="0.3">
      <c r="A20" t="s">
        <v>10</v>
      </c>
      <c r="B20" s="47">
        <v>42887</v>
      </c>
      <c r="C20">
        <v>6124</v>
      </c>
      <c r="D20" t="s">
        <v>274</v>
      </c>
      <c r="E20">
        <v>9</v>
      </c>
      <c r="F20">
        <v>9</v>
      </c>
      <c r="G20">
        <v>0</v>
      </c>
      <c r="H20">
        <v>0</v>
      </c>
      <c r="J20" t="s">
        <v>118</v>
      </c>
      <c r="K20" s="22">
        <v>42887</v>
      </c>
      <c r="L20">
        <v>6124</v>
      </c>
      <c r="M20" t="s">
        <v>274</v>
      </c>
      <c r="N20">
        <v>9</v>
      </c>
      <c r="O20">
        <v>9</v>
      </c>
      <c r="P20">
        <v>0</v>
      </c>
      <c r="R20" s="33" t="b">
        <f>Table_ExternalData_142[[#This Row],[Offered]]=N20</f>
        <v>1</v>
      </c>
      <c r="S20" s="33" t="b">
        <f>Table_ExternalData_142[[#This Row],[Handle]]=O20</f>
        <v>1</v>
      </c>
      <c r="T20" s="33" t="b">
        <f>P20=Table_ExternalData_142[[#This Row],[TotAband]]</f>
        <v>1</v>
      </c>
    </row>
    <row r="21" spans="1:20" x14ac:dyDescent="0.3">
      <c r="A21" t="s">
        <v>10</v>
      </c>
      <c r="B21" s="47">
        <v>42887</v>
      </c>
      <c r="C21">
        <v>6126</v>
      </c>
      <c r="D21" t="s">
        <v>276</v>
      </c>
      <c r="E21">
        <v>3</v>
      </c>
      <c r="F21">
        <v>0</v>
      </c>
      <c r="G21">
        <v>3</v>
      </c>
      <c r="H21">
        <v>0</v>
      </c>
      <c r="J21" t="s">
        <v>118</v>
      </c>
      <c r="K21" s="22">
        <v>42887</v>
      </c>
      <c r="L21">
        <v>6126</v>
      </c>
      <c r="M21" t="s">
        <v>276</v>
      </c>
      <c r="N21">
        <v>7</v>
      </c>
      <c r="O21">
        <v>0</v>
      </c>
      <c r="P21">
        <v>0</v>
      </c>
      <c r="R21" s="33" t="b">
        <f>Table_ExternalData_142[[#This Row],[Offered]]=N21</f>
        <v>0</v>
      </c>
      <c r="S21" s="33" t="b">
        <f>Table_ExternalData_142[[#This Row],[Handle]]=O21</f>
        <v>1</v>
      </c>
      <c r="T21" s="33" t="b">
        <f>P21=Table_ExternalData_142[[#This Row],[TotAband]]</f>
        <v>1</v>
      </c>
    </row>
    <row r="22" spans="1:20" x14ac:dyDescent="0.3">
      <c r="A22" t="s">
        <v>10</v>
      </c>
      <c r="B22" s="47">
        <v>42887</v>
      </c>
      <c r="C22">
        <v>6127</v>
      </c>
      <c r="D22" t="s">
        <v>277</v>
      </c>
      <c r="E22">
        <v>430</v>
      </c>
      <c r="F22">
        <v>0</v>
      </c>
      <c r="G22">
        <v>430</v>
      </c>
      <c r="H22">
        <v>4</v>
      </c>
      <c r="J22" t="s">
        <v>118</v>
      </c>
      <c r="K22" s="22">
        <v>42887</v>
      </c>
      <c r="L22">
        <v>6127</v>
      </c>
      <c r="M22" t="s">
        <v>277</v>
      </c>
      <c r="N22">
        <v>439</v>
      </c>
      <c r="O22">
        <v>0</v>
      </c>
      <c r="P22">
        <v>3</v>
      </c>
      <c r="R22" s="33" t="b">
        <f>Table_ExternalData_142[[#This Row],[Offered]]=N22</f>
        <v>0</v>
      </c>
      <c r="S22" s="33" t="b">
        <f>Table_ExternalData_142[[#This Row],[Handle]]=O22</f>
        <v>1</v>
      </c>
      <c r="T22" s="33" t="b">
        <f>P22=Table_ExternalData_142[[#This Row],[TotAband]]</f>
        <v>0</v>
      </c>
    </row>
    <row r="23" spans="1:20" x14ac:dyDescent="0.3">
      <c r="A23" t="s">
        <v>10</v>
      </c>
      <c r="B23" s="47">
        <v>42887</v>
      </c>
      <c r="C23">
        <v>6132</v>
      </c>
      <c r="D23" t="s">
        <v>278</v>
      </c>
      <c r="E23">
        <v>3</v>
      </c>
      <c r="F23">
        <v>0</v>
      </c>
      <c r="G23">
        <v>3</v>
      </c>
      <c r="H23">
        <v>0</v>
      </c>
      <c r="J23" t="s">
        <v>118</v>
      </c>
      <c r="K23" s="22">
        <v>42887</v>
      </c>
      <c r="L23">
        <v>6132</v>
      </c>
      <c r="M23" t="s">
        <v>278</v>
      </c>
      <c r="N23">
        <v>7</v>
      </c>
      <c r="O23">
        <v>0</v>
      </c>
      <c r="P23">
        <v>0</v>
      </c>
      <c r="R23" s="33" t="b">
        <f>Table_ExternalData_142[[#This Row],[Offered]]=N23</f>
        <v>0</v>
      </c>
      <c r="S23" s="33" t="b">
        <f>Table_ExternalData_142[[#This Row],[Handle]]=O23</f>
        <v>1</v>
      </c>
      <c r="T23" s="33" t="b">
        <f>P23=Table_ExternalData_142[[#This Row],[TotAband]]</f>
        <v>1</v>
      </c>
    </row>
    <row r="24" spans="1:20" hidden="1" x14ac:dyDescent="0.3">
      <c r="A24" t="s">
        <v>10</v>
      </c>
      <c r="B24" s="47">
        <v>42887</v>
      </c>
      <c r="C24">
        <v>6133</v>
      </c>
      <c r="D24" t="s">
        <v>254</v>
      </c>
      <c r="E24">
        <v>1</v>
      </c>
      <c r="F24">
        <v>1</v>
      </c>
      <c r="G24">
        <v>0</v>
      </c>
      <c r="H24">
        <v>0</v>
      </c>
      <c r="J24" t="s">
        <v>118</v>
      </c>
      <c r="K24" s="22">
        <v>42887</v>
      </c>
      <c r="L24">
        <v>6133</v>
      </c>
      <c r="M24" t="s">
        <v>254</v>
      </c>
      <c r="N24">
        <v>1</v>
      </c>
      <c r="O24">
        <v>1</v>
      </c>
      <c r="P24">
        <v>0</v>
      </c>
      <c r="R24" s="33" t="b">
        <f>Table_ExternalData_142[[#This Row],[Offered]]=N24</f>
        <v>1</v>
      </c>
      <c r="S24" s="33" t="b">
        <f>Table_ExternalData_142[[#This Row],[Handle]]=O24</f>
        <v>1</v>
      </c>
      <c r="T24" s="33" t="b">
        <f>P24=Table_ExternalData_142[[#This Row],[TotAband]]</f>
        <v>1</v>
      </c>
    </row>
    <row r="25" spans="1:20" x14ac:dyDescent="0.3">
      <c r="A25" t="s">
        <v>10</v>
      </c>
      <c r="B25" s="47">
        <v>42887</v>
      </c>
      <c r="C25">
        <v>6142</v>
      </c>
      <c r="D25" t="s">
        <v>282</v>
      </c>
      <c r="E25">
        <v>3</v>
      </c>
      <c r="F25">
        <v>0</v>
      </c>
      <c r="G25">
        <v>3</v>
      </c>
      <c r="H25">
        <v>0</v>
      </c>
      <c r="J25" t="s">
        <v>118</v>
      </c>
      <c r="K25" s="22">
        <v>42887</v>
      </c>
      <c r="L25">
        <v>6142</v>
      </c>
      <c r="M25" t="s">
        <v>282</v>
      </c>
      <c r="N25">
        <v>2</v>
      </c>
      <c r="O25">
        <v>0</v>
      </c>
      <c r="P25">
        <v>0</v>
      </c>
      <c r="R25" s="33" t="b">
        <f>Table_ExternalData_142[[#This Row],[Offered]]=N25</f>
        <v>0</v>
      </c>
      <c r="S25" s="33" t="b">
        <f>Table_ExternalData_142[[#This Row],[Handle]]=O25</f>
        <v>1</v>
      </c>
      <c r="T25" s="33" t="b">
        <f>P25=Table_ExternalData_142[[#This Row],[TotAband]]</f>
        <v>1</v>
      </c>
    </row>
    <row r="26" spans="1:20" x14ac:dyDescent="0.3">
      <c r="A26" t="s">
        <v>10</v>
      </c>
      <c r="B26" s="47">
        <v>42887</v>
      </c>
      <c r="C26">
        <v>6143</v>
      </c>
      <c r="D26" t="s">
        <v>283</v>
      </c>
      <c r="E26">
        <v>1</v>
      </c>
      <c r="F26">
        <v>0</v>
      </c>
      <c r="G26">
        <v>1</v>
      </c>
      <c r="H26">
        <v>0</v>
      </c>
      <c r="J26" t="s">
        <v>118</v>
      </c>
      <c r="K26" s="22">
        <v>42887</v>
      </c>
      <c r="L26">
        <v>6143</v>
      </c>
      <c r="M26" t="s">
        <v>283</v>
      </c>
      <c r="N26">
        <v>1</v>
      </c>
      <c r="O26">
        <v>0</v>
      </c>
      <c r="P26">
        <v>0</v>
      </c>
      <c r="R26" s="33" t="b">
        <f>Table_ExternalData_142[[#This Row],[Offered]]=N26</f>
        <v>1</v>
      </c>
      <c r="S26" s="33" t="b">
        <f>Table_ExternalData_142[[#This Row],[Handle]]=O26</f>
        <v>1</v>
      </c>
      <c r="T26" s="33" t="b">
        <f>P26=Table_ExternalData_142[[#This Row],[TotAband]]</f>
        <v>1</v>
      </c>
    </row>
    <row r="27" spans="1:20" x14ac:dyDescent="0.3">
      <c r="A27" t="s">
        <v>10</v>
      </c>
      <c r="B27" s="47">
        <v>42887</v>
      </c>
      <c r="C27">
        <v>6144</v>
      </c>
      <c r="D27" t="s">
        <v>284</v>
      </c>
      <c r="E27">
        <v>2</v>
      </c>
      <c r="F27">
        <v>0</v>
      </c>
      <c r="G27">
        <v>2</v>
      </c>
      <c r="H27">
        <v>0</v>
      </c>
      <c r="J27" t="s">
        <v>118</v>
      </c>
      <c r="K27" s="22">
        <v>42887</v>
      </c>
      <c r="L27">
        <v>6144</v>
      </c>
      <c r="M27" t="s">
        <v>284</v>
      </c>
      <c r="N27">
        <v>2</v>
      </c>
      <c r="O27">
        <v>0</v>
      </c>
      <c r="P27">
        <v>0</v>
      </c>
      <c r="R27" s="33" t="b">
        <f>Table_ExternalData_142[[#This Row],[Offered]]=N27</f>
        <v>1</v>
      </c>
      <c r="S27" s="33" t="b">
        <f>Table_ExternalData_142[[#This Row],[Handle]]=O27</f>
        <v>1</v>
      </c>
      <c r="T27" s="33" t="b">
        <f>P27=Table_ExternalData_142[[#This Row],[TotAband]]</f>
        <v>1</v>
      </c>
    </row>
    <row r="28" spans="1:20" x14ac:dyDescent="0.3">
      <c r="A28" t="s">
        <v>10</v>
      </c>
      <c r="B28" s="47">
        <v>42887</v>
      </c>
      <c r="C28">
        <v>6146</v>
      </c>
      <c r="D28" t="s">
        <v>286</v>
      </c>
      <c r="E28">
        <v>1</v>
      </c>
      <c r="F28">
        <v>0</v>
      </c>
      <c r="G28">
        <v>1</v>
      </c>
      <c r="H28">
        <v>0</v>
      </c>
      <c r="J28" t="s">
        <v>118</v>
      </c>
      <c r="K28" s="22">
        <v>42887</v>
      </c>
      <c r="L28">
        <v>6146</v>
      </c>
      <c r="M28" t="s">
        <v>286</v>
      </c>
      <c r="N28">
        <v>1</v>
      </c>
      <c r="O28">
        <v>0</v>
      </c>
      <c r="P28">
        <v>0</v>
      </c>
      <c r="R28" s="33" t="b">
        <f>Table_ExternalData_142[[#This Row],[Offered]]=N28</f>
        <v>1</v>
      </c>
      <c r="S28" s="33" t="b">
        <f>Table_ExternalData_142[[#This Row],[Handle]]=O28</f>
        <v>1</v>
      </c>
      <c r="T28" s="33" t="b">
        <f>P28=Table_ExternalData_142[[#This Row],[TotAband]]</f>
        <v>1</v>
      </c>
    </row>
    <row r="29" spans="1:20" x14ac:dyDescent="0.3">
      <c r="A29" t="s">
        <v>10</v>
      </c>
      <c r="B29" s="47">
        <v>42887</v>
      </c>
      <c r="C29">
        <v>6147</v>
      </c>
      <c r="D29" t="s">
        <v>287</v>
      </c>
      <c r="E29">
        <v>3</v>
      </c>
      <c r="F29">
        <v>0</v>
      </c>
      <c r="G29">
        <v>3</v>
      </c>
      <c r="H29">
        <v>0</v>
      </c>
      <c r="J29" t="s">
        <v>118</v>
      </c>
      <c r="K29" s="22">
        <v>42887</v>
      </c>
      <c r="L29">
        <v>6147</v>
      </c>
      <c r="M29" t="s">
        <v>287</v>
      </c>
      <c r="N29">
        <v>4</v>
      </c>
      <c r="O29">
        <v>0</v>
      </c>
      <c r="P29">
        <v>0</v>
      </c>
      <c r="R29" s="33" t="b">
        <f>Table_ExternalData_142[[#This Row],[Offered]]=N29</f>
        <v>0</v>
      </c>
      <c r="S29" s="33" t="b">
        <f>Table_ExternalData_142[[#This Row],[Handle]]=O29</f>
        <v>1</v>
      </c>
      <c r="T29" s="33" t="b">
        <f>P29=Table_ExternalData_142[[#This Row],[TotAband]]</f>
        <v>1</v>
      </c>
    </row>
    <row r="30" spans="1:20" x14ac:dyDescent="0.3">
      <c r="A30" t="s">
        <v>10</v>
      </c>
      <c r="B30" s="47">
        <v>42887</v>
      </c>
      <c r="C30">
        <v>6148</v>
      </c>
      <c r="D30" t="s">
        <v>288</v>
      </c>
      <c r="E30">
        <v>2</v>
      </c>
      <c r="F30">
        <v>0</v>
      </c>
      <c r="G30">
        <v>2</v>
      </c>
      <c r="H30">
        <v>0</v>
      </c>
      <c r="J30" t="s">
        <v>118</v>
      </c>
      <c r="K30" s="22">
        <v>42887</v>
      </c>
      <c r="L30">
        <v>6148</v>
      </c>
      <c r="M30" t="s">
        <v>288</v>
      </c>
      <c r="N30">
        <v>2</v>
      </c>
      <c r="O30">
        <v>0</v>
      </c>
      <c r="P30">
        <v>0</v>
      </c>
      <c r="R30" s="33" t="b">
        <f>Table_ExternalData_142[[#This Row],[Offered]]=N30</f>
        <v>1</v>
      </c>
      <c r="S30" s="33" t="b">
        <f>Table_ExternalData_142[[#This Row],[Handle]]=O30</f>
        <v>1</v>
      </c>
      <c r="T30" s="33" t="b">
        <f>P30=Table_ExternalData_142[[#This Row],[TotAband]]</f>
        <v>1</v>
      </c>
    </row>
    <row r="31" spans="1:20" x14ac:dyDescent="0.3">
      <c r="A31" t="s">
        <v>10</v>
      </c>
      <c r="B31" s="47">
        <v>42887</v>
      </c>
      <c r="C31">
        <v>6149</v>
      </c>
      <c r="D31" t="s">
        <v>289</v>
      </c>
      <c r="E31">
        <v>2</v>
      </c>
      <c r="F31">
        <v>0</v>
      </c>
      <c r="G31">
        <v>2</v>
      </c>
      <c r="H31">
        <v>0</v>
      </c>
      <c r="J31" t="s">
        <v>118</v>
      </c>
      <c r="K31" s="22">
        <v>42887</v>
      </c>
      <c r="L31">
        <v>6149</v>
      </c>
      <c r="M31" t="s">
        <v>289</v>
      </c>
      <c r="N31">
        <v>2</v>
      </c>
      <c r="O31">
        <v>0</v>
      </c>
      <c r="P31">
        <v>0</v>
      </c>
      <c r="R31" s="33" t="b">
        <f>Table_ExternalData_142[[#This Row],[Offered]]=N31</f>
        <v>1</v>
      </c>
      <c r="S31" s="33" t="b">
        <f>Table_ExternalData_142[[#This Row],[Handle]]=O31</f>
        <v>1</v>
      </c>
      <c r="T31" s="33" t="b">
        <f>P31=Table_ExternalData_142[[#This Row],[TotAband]]</f>
        <v>1</v>
      </c>
    </row>
    <row r="32" spans="1:20" x14ac:dyDescent="0.3">
      <c r="B32" s="47">
        <v>42887</v>
      </c>
      <c r="C32">
        <v>6221</v>
      </c>
      <c r="D32" t="s">
        <v>292</v>
      </c>
      <c r="E32">
        <v>62</v>
      </c>
      <c r="F32">
        <v>0</v>
      </c>
      <c r="G32">
        <v>62</v>
      </c>
      <c r="H32">
        <v>0</v>
      </c>
      <c r="J32" t="s">
        <v>118</v>
      </c>
      <c r="K32" s="22">
        <v>42887</v>
      </c>
      <c r="L32">
        <v>6221</v>
      </c>
      <c r="M32" t="s">
        <v>292</v>
      </c>
      <c r="N32">
        <v>65</v>
      </c>
      <c r="O32">
        <v>0</v>
      </c>
      <c r="P32">
        <v>0</v>
      </c>
      <c r="R32" s="33" t="b">
        <f>Table_ExternalData_142[[#This Row],[Offered]]=N32</f>
        <v>0</v>
      </c>
      <c r="S32" s="33" t="b">
        <f>Table_ExternalData_142[[#This Row],[Handle]]=O32</f>
        <v>1</v>
      </c>
      <c r="T32" s="33" t="b">
        <f>P32=Table_ExternalData_142[[#This Row],[TotAband]]</f>
        <v>1</v>
      </c>
    </row>
    <row r="33" spans="2:20" x14ac:dyDescent="0.3">
      <c r="B33" s="47">
        <v>42887</v>
      </c>
      <c r="C33">
        <v>6222</v>
      </c>
      <c r="D33" t="s">
        <v>293</v>
      </c>
      <c r="E33">
        <v>8</v>
      </c>
      <c r="F33">
        <v>0</v>
      </c>
      <c r="G33">
        <v>8</v>
      </c>
      <c r="H33">
        <v>0</v>
      </c>
      <c r="J33" t="s">
        <v>118</v>
      </c>
      <c r="K33" s="22">
        <v>42887</v>
      </c>
      <c r="L33">
        <v>6222</v>
      </c>
      <c r="M33" t="s">
        <v>293</v>
      </c>
      <c r="N33">
        <v>8</v>
      </c>
      <c r="O33">
        <v>0</v>
      </c>
      <c r="P33">
        <v>0</v>
      </c>
      <c r="R33" s="33" t="b">
        <f>Table_ExternalData_142[[#This Row],[Offered]]=N33</f>
        <v>1</v>
      </c>
      <c r="S33" s="33" t="b">
        <f>Table_ExternalData_142[[#This Row],[Handle]]=O33</f>
        <v>1</v>
      </c>
      <c r="T33" s="33" t="b">
        <f>P33=Table_ExternalData_142[[#This Row],[TotAband]]</f>
        <v>1</v>
      </c>
    </row>
    <row r="34" spans="2:20" x14ac:dyDescent="0.3">
      <c r="B34" s="47">
        <v>42887</v>
      </c>
      <c r="C34">
        <v>6586</v>
      </c>
      <c r="D34" t="s">
        <v>322</v>
      </c>
      <c r="E34">
        <v>7299</v>
      </c>
      <c r="F34">
        <v>0</v>
      </c>
      <c r="G34">
        <v>7299</v>
      </c>
      <c r="H34">
        <v>2088</v>
      </c>
      <c r="J34" t="s">
        <v>118</v>
      </c>
      <c r="K34" s="22">
        <v>42887</v>
      </c>
      <c r="L34">
        <v>6586</v>
      </c>
      <c r="M34" t="s">
        <v>322</v>
      </c>
      <c r="N34">
        <v>7306</v>
      </c>
      <c r="O34">
        <v>0</v>
      </c>
      <c r="P34">
        <v>2089</v>
      </c>
      <c r="R34" s="33" t="b">
        <f>Table_ExternalData_142[[#This Row],[Offered]]=N34</f>
        <v>0</v>
      </c>
      <c r="S34" s="33" t="b">
        <f>Table_ExternalData_142[[#This Row],[Handle]]=O34</f>
        <v>1</v>
      </c>
      <c r="T34" s="33" t="b">
        <f>P34=Table_ExternalData_142[[#This Row],[TotAband]]</f>
        <v>0</v>
      </c>
    </row>
    <row r="35" spans="2:20" ht="15" hidden="1" x14ac:dyDescent="0.25">
      <c r="B35" s="47">
        <v>42887</v>
      </c>
      <c r="C35">
        <v>6587</v>
      </c>
      <c r="D35" t="s">
        <v>329</v>
      </c>
      <c r="E35">
        <v>999</v>
      </c>
      <c r="F35">
        <v>0</v>
      </c>
      <c r="G35">
        <v>999</v>
      </c>
      <c r="H35">
        <v>301</v>
      </c>
      <c r="J35" t="s">
        <v>118</v>
      </c>
      <c r="K35" s="22">
        <v>42887</v>
      </c>
      <c r="L35">
        <v>6587</v>
      </c>
      <c r="M35" t="s">
        <v>329</v>
      </c>
      <c r="N35">
        <v>1002</v>
      </c>
      <c r="O35">
        <v>0</v>
      </c>
      <c r="P35">
        <v>304</v>
      </c>
      <c r="R35" s="33"/>
      <c r="S35" s="33"/>
      <c r="T35" s="33"/>
    </row>
    <row r="36" spans="2:20" ht="15" hidden="1" x14ac:dyDescent="0.25">
      <c r="B36" s="47">
        <v>42887</v>
      </c>
      <c r="C36">
        <v>6588</v>
      </c>
      <c r="D36" t="s">
        <v>323</v>
      </c>
      <c r="E36">
        <v>54</v>
      </c>
      <c r="F36">
        <v>0</v>
      </c>
      <c r="G36">
        <v>54</v>
      </c>
      <c r="H36">
        <v>12</v>
      </c>
      <c r="J36" t="s">
        <v>118</v>
      </c>
      <c r="K36" s="22">
        <v>42887</v>
      </c>
      <c r="L36">
        <v>6588</v>
      </c>
      <c r="M36" t="s">
        <v>323</v>
      </c>
      <c r="N36">
        <v>54</v>
      </c>
      <c r="O36">
        <v>0</v>
      </c>
      <c r="P36">
        <v>12</v>
      </c>
      <c r="R36" s="33"/>
      <c r="S36" s="33"/>
      <c r="T36" s="33"/>
    </row>
    <row r="37" spans="2:20" x14ac:dyDescent="0.3">
      <c r="B37" s="47">
        <v>42887</v>
      </c>
      <c r="C37">
        <v>6589</v>
      </c>
      <c r="D37" t="s">
        <v>328</v>
      </c>
      <c r="E37">
        <v>30</v>
      </c>
      <c r="F37">
        <v>0</v>
      </c>
      <c r="G37">
        <v>30</v>
      </c>
      <c r="H37">
        <v>7</v>
      </c>
      <c r="J37" t="s">
        <v>118</v>
      </c>
      <c r="K37" s="22">
        <v>42887</v>
      </c>
      <c r="L37">
        <v>6589</v>
      </c>
      <c r="M37" t="s">
        <v>328</v>
      </c>
      <c r="N37">
        <v>30</v>
      </c>
      <c r="O37">
        <v>0</v>
      </c>
      <c r="P37">
        <v>7</v>
      </c>
      <c r="R37" s="33" t="b">
        <f>Table_ExternalData_142[[#This Row],[Offered]]=N37</f>
        <v>1</v>
      </c>
      <c r="S37" s="33" t="b">
        <f>Table_ExternalData_142[[#This Row],[Handle]]=O37</f>
        <v>1</v>
      </c>
      <c r="T37" s="33" t="b">
        <f>P37=Table_ExternalData_142[[#This Row],[TotAband]]</f>
        <v>1</v>
      </c>
    </row>
    <row r="38" spans="2:20" x14ac:dyDescent="0.3">
      <c r="B38" s="47">
        <v>42887</v>
      </c>
      <c r="C38">
        <v>6590</v>
      </c>
      <c r="D38" t="s">
        <v>318</v>
      </c>
      <c r="E38">
        <v>4</v>
      </c>
      <c r="F38">
        <v>0</v>
      </c>
      <c r="G38">
        <v>4</v>
      </c>
      <c r="H38">
        <v>0</v>
      </c>
      <c r="J38" t="s">
        <v>118</v>
      </c>
      <c r="K38" s="22">
        <v>42887</v>
      </c>
      <c r="L38">
        <v>6590</v>
      </c>
      <c r="M38" t="s">
        <v>318</v>
      </c>
      <c r="N38">
        <v>4</v>
      </c>
      <c r="O38">
        <v>0</v>
      </c>
      <c r="P38">
        <v>0</v>
      </c>
      <c r="R38" s="33" t="b">
        <f>Table_ExternalData_142[[#This Row],[Offered]]=N38</f>
        <v>1</v>
      </c>
      <c r="S38" s="33" t="b">
        <f>Table_ExternalData_142[[#This Row],[Handle]]=O38</f>
        <v>1</v>
      </c>
      <c r="T38" s="33" t="b">
        <f>P38=Table_ExternalData_142[[#This Row],[TotAband]]</f>
        <v>1</v>
      </c>
    </row>
    <row r="39" spans="2:20" x14ac:dyDescent="0.3">
      <c r="B39" s="47">
        <v>42887</v>
      </c>
      <c r="C39">
        <v>6591</v>
      </c>
      <c r="D39" t="s">
        <v>324</v>
      </c>
      <c r="E39">
        <v>1</v>
      </c>
      <c r="F39">
        <v>0</v>
      </c>
      <c r="G39">
        <v>1</v>
      </c>
      <c r="H39">
        <v>0</v>
      </c>
      <c r="J39" t="s">
        <v>118</v>
      </c>
      <c r="K39" s="22">
        <v>42887</v>
      </c>
      <c r="L39">
        <v>6591</v>
      </c>
      <c r="M39" t="s">
        <v>324</v>
      </c>
      <c r="N39">
        <v>1</v>
      </c>
      <c r="O39">
        <v>0</v>
      </c>
      <c r="P39">
        <v>0</v>
      </c>
      <c r="R39" s="33" t="b">
        <f>Table_ExternalData_142[[#This Row],[Offered]]=N39</f>
        <v>1</v>
      </c>
      <c r="S39" s="33" t="b">
        <f>Table_ExternalData_142[[#This Row],[Handle]]=O39</f>
        <v>1</v>
      </c>
      <c r="T39" s="33" t="b">
        <f>P39=Table_ExternalData_142[[#This Row],[TotAband]]</f>
        <v>1</v>
      </c>
    </row>
    <row r="40" spans="2:20" x14ac:dyDescent="0.3">
      <c r="B40" s="47">
        <v>42887</v>
      </c>
      <c r="C40">
        <v>6592</v>
      </c>
      <c r="D40" t="s">
        <v>319</v>
      </c>
      <c r="E40">
        <v>22</v>
      </c>
      <c r="F40">
        <v>0</v>
      </c>
      <c r="G40">
        <v>22</v>
      </c>
      <c r="H40">
        <v>6</v>
      </c>
      <c r="J40" t="s">
        <v>118</v>
      </c>
      <c r="K40" s="22">
        <v>42887</v>
      </c>
      <c r="L40">
        <v>6592</v>
      </c>
      <c r="M40" t="s">
        <v>319</v>
      </c>
      <c r="N40">
        <v>22</v>
      </c>
      <c r="O40">
        <v>0</v>
      </c>
      <c r="P40">
        <v>6</v>
      </c>
      <c r="R40" s="33" t="b">
        <f>Table_ExternalData_142[[#This Row],[Offered]]=N40</f>
        <v>1</v>
      </c>
      <c r="S40" s="33" t="b">
        <f>Table_ExternalData_142[[#This Row],[Handle]]=O40</f>
        <v>1</v>
      </c>
      <c r="T40" s="33" t="b">
        <f>P40=Table_ExternalData_142[[#This Row],[TotAband]]</f>
        <v>1</v>
      </c>
    </row>
    <row r="41" spans="2:20" x14ac:dyDescent="0.3">
      <c r="B41" s="47">
        <v>42887</v>
      </c>
      <c r="C41">
        <v>6593</v>
      </c>
      <c r="D41" t="s">
        <v>327</v>
      </c>
      <c r="E41">
        <v>91</v>
      </c>
      <c r="F41">
        <v>0</v>
      </c>
      <c r="G41">
        <v>91</v>
      </c>
      <c r="H41">
        <v>15</v>
      </c>
      <c r="J41" t="s">
        <v>118</v>
      </c>
      <c r="K41" s="22">
        <v>42887</v>
      </c>
      <c r="L41">
        <v>6593</v>
      </c>
      <c r="M41" t="s">
        <v>327</v>
      </c>
      <c r="N41">
        <v>92</v>
      </c>
      <c r="O41">
        <v>0</v>
      </c>
      <c r="P41">
        <v>15</v>
      </c>
      <c r="R41" s="33" t="b">
        <f>Table_ExternalData_142[[#This Row],[Offered]]=N41</f>
        <v>0</v>
      </c>
      <c r="S41" s="33" t="b">
        <f>Table_ExternalData_142[[#This Row],[Handle]]=O41</f>
        <v>1</v>
      </c>
      <c r="T41" s="33" t="b">
        <f>P41=Table_ExternalData_142[[#This Row],[TotAband]]</f>
        <v>1</v>
      </c>
    </row>
    <row r="42" spans="2:20" x14ac:dyDescent="0.3">
      <c r="B42" s="47">
        <v>42887</v>
      </c>
      <c r="C42">
        <v>6594</v>
      </c>
      <c r="D42" t="s">
        <v>330</v>
      </c>
      <c r="E42">
        <v>26</v>
      </c>
      <c r="F42">
        <v>0</v>
      </c>
      <c r="G42">
        <v>26</v>
      </c>
      <c r="H42">
        <v>6</v>
      </c>
      <c r="J42" t="s">
        <v>118</v>
      </c>
      <c r="K42" s="22">
        <v>42887</v>
      </c>
      <c r="L42">
        <v>6594</v>
      </c>
      <c r="M42" t="s">
        <v>330</v>
      </c>
      <c r="N42">
        <v>26</v>
      </c>
      <c r="O42">
        <v>0</v>
      </c>
      <c r="P42">
        <v>6</v>
      </c>
      <c r="R42" s="33" t="b">
        <f>Table_ExternalData_142[[#This Row],[Offered]]=N42</f>
        <v>1</v>
      </c>
      <c r="S42" s="33" t="b">
        <f>Table_ExternalData_142[[#This Row],[Handle]]=O42</f>
        <v>1</v>
      </c>
      <c r="T42" s="33" t="b">
        <f>P42=Table_ExternalData_142[[#This Row],[TotAband]]</f>
        <v>1</v>
      </c>
    </row>
    <row r="43" spans="2:20" x14ac:dyDescent="0.3">
      <c r="B43" s="47">
        <v>42887</v>
      </c>
      <c r="C43">
        <v>6595</v>
      </c>
      <c r="D43" t="s">
        <v>325</v>
      </c>
      <c r="E43">
        <v>51</v>
      </c>
      <c r="F43">
        <v>0</v>
      </c>
      <c r="G43">
        <v>51</v>
      </c>
      <c r="H43">
        <v>11</v>
      </c>
      <c r="J43" t="s">
        <v>118</v>
      </c>
      <c r="K43" s="22">
        <v>42887</v>
      </c>
      <c r="L43">
        <v>6595</v>
      </c>
      <c r="M43" t="s">
        <v>325</v>
      </c>
      <c r="N43">
        <v>50</v>
      </c>
      <c r="O43">
        <v>0</v>
      </c>
      <c r="P43">
        <v>11</v>
      </c>
      <c r="R43" s="33" t="b">
        <f>Table_ExternalData_142[[#This Row],[Offered]]=N43</f>
        <v>0</v>
      </c>
      <c r="S43" s="33" t="b">
        <f>Table_ExternalData_142[[#This Row],[Handle]]=O43</f>
        <v>1</v>
      </c>
      <c r="T43" s="33" t="b">
        <f>P43=Table_ExternalData_142[[#This Row],[TotAband]]</f>
        <v>1</v>
      </c>
    </row>
    <row r="44" spans="2:20" x14ac:dyDescent="0.3">
      <c r="B44" s="47">
        <v>42887</v>
      </c>
      <c r="C44">
        <v>6596</v>
      </c>
      <c r="D44" t="s">
        <v>321</v>
      </c>
      <c r="E44">
        <v>68</v>
      </c>
      <c r="F44">
        <v>0</v>
      </c>
      <c r="G44">
        <v>68</v>
      </c>
      <c r="H44">
        <v>19</v>
      </c>
      <c r="J44" t="s">
        <v>118</v>
      </c>
      <c r="K44" s="22">
        <v>42887</v>
      </c>
      <c r="L44">
        <v>6596</v>
      </c>
      <c r="M44" t="s">
        <v>321</v>
      </c>
      <c r="N44">
        <v>67</v>
      </c>
      <c r="O44">
        <v>0</v>
      </c>
      <c r="P44">
        <v>19</v>
      </c>
      <c r="R44" s="33" t="b">
        <f>Table_ExternalData_142[[#This Row],[Offered]]=N44</f>
        <v>0</v>
      </c>
      <c r="S44" s="33" t="b">
        <f>Table_ExternalData_142[[#This Row],[Handle]]=O44</f>
        <v>1</v>
      </c>
      <c r="T44" s="33" t="b">
        <f>P44=Table_ExternalData_142[[#This Row],[TotAband]]</f>
        <v>1</v>
      </c>
    </row>
    <row r="45" spans="2:20" x14ac:dyDescent="0.3">
      <c r="B45" s="47">
        <v>42887</v>
      </c>
      <c r="C45">
        <v>6597</v>
      </c>
      <c r="D45" t="s">
        <v>331</v>
      </c>
      <c r="E45">
        <v>75</v>
      </c>
      <c r="F45">
        <v>0</v>
      </c>
      <c r="G45">
        <v>75</v>
      </c>
      <c r="H45">
        <v>19</v>
      </c>
      <c r="J45" t="s">
        <v>118</v>
      </c>
      <c r="K45" s="22">
        <v>42887</v>
      </c>
      <c r="L45">
        <v>6597</v>
      </c>
      <c r="M45" t="s">
        <v>331</v>
      </c>
      <c r="N45">
        <v>75</v>
      </c>
      <c r="O45">
        <v>0</v>
      </c>
      <c r="P45">
        <v>19</v>
      </c>
      <c r="R45" s="33" t="b">
        <f>Table_ExternalData_142[[#This Row],[Offered]]=N45</f>
        <v>1</v>
      </c>
      <c r="S45" s="33" t="b">
        <f>Table_ExternalData_142[[#This Row],[Handle]]=O45</f>
        <v>1</v>
      </c>
      <c r="T45" s="33" t="b">
        <f>P45=Table_ExternalData_142[[#This Row],[TotAband]]</f>
        <v>1</v>
      </c>
    </row>
    <row r="46" spans="2:20" x14ac:dyDescent="0.3">
      <c r="B46" s="47">
        <v>42887</v>
      </c>
      <c r="C46">
        <v>6598</v>
      </c>
      <c r="D46" t="s">
        <v>320</v>
      </c>
      <c r="E46">
        <v>2</v>
      </c>
      <c r="F46">
        <v>0</v>
      </c>
      <c r="G46">
        <v>2</v>
      </c>
      <c r="H46">
        <v>2</v>
      </c>
      <c r="J46" t="s">
        <v>118</v>
      </c>
      <c r="K46" s="22">
        <v>42887</v>
      </c>
      <c r="L46">
        <v>6598</v>
      </c>
      <c r="M46" t="s">
        <v>320</v>
      </c>
      <c r="N46">
        <v>2</v>
      </c>
      <c r="O46">
        <v>0</v>
      </c>
      <c r="P46">
        <v>2</v>
      </c>
      <c r="R46" s="33" t="b">
        <f>Table_ExternalData_142[[#This Row],[Offered]]=N46</f>
        <v>1</v>
      </c>
      <c r="S46" s="33" t="b">
        <f>Table_ExternalData_142[[#This Row],[Handle]]=O46</f>
        <v>1</v>
      </c>
      <c r="T46" s="33" t="b">
        <f>P46=Table_ExternalData_142[[#This Row],[TotAband]]</f>
        <v>1</v>
      </c>
    </row>
  </sheetData>
  <autoFilter ref="J1:P36">
    <filterColumn colId="1">
      <filters>
        <dateGroupItem year="2016" month="8" dateTimeGrouping="month"/>
      </filters>
    </filterColumn>
  </autoFilter>
  <conditionalFormatting sqref="R234:T1048576 R1:T46">
    <cfRule type="cellIs" dxfId="4" priority="2" operator="equal">
      <formula>FALSE</formula>
    </cfRule>
  </conditionalFormatting>
  <conditionalFormatting sqref="R1:T1048576">
    <cfRule type="cellIs" dxfId="3" priority="1" operator="equal">
      <formula>FALSE</formula>
    </cfRule>
  </conditionalFormatting>
  <pageMargins left="0.7" right="0.7" top="0.75" bottom="0.75" header="0.3" footer="0.3"/>
  <pageSetup orientation="portrait" horizontalDpi="200" verticalDpi="200" copies="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P719"/>
  <sheetViews>
    <sheetView workbookViewId="0">
      <selection activeCell="P719" sqref="P719"/>
    </sheetView>
  </sheetViews>
  <sheetFormatPr defaultRowHeight="14.4" x14ac:dyDescent="0.3"/>
  <cols>
    <col min="1" max="1" width="6.88671875" bestFit="1" customWidth="1"/>
    <col min="2" max="2" width="11.109375" bestFit="1" customWidth="1"/>
    <col min="3" max="3" width="7.33203125" bestFit="1" customWidth="1"/>
    <col min="4" max="4" width="15" bestFit="1" customWidth="1"/>
    <col min="5" max="5" width="6.33203125" bestFit="1" customWidth="1"/>
    <col min="6" max="6" width="4" bestFit="1" customWidth="1"/>
    <col min="7" max="7" width="14.109375" bestFit="1" customWidth="1"/>
    <col min="9" max="9" width="9.5546875" bestFit="1" customWidth="1"/>
    <col min="10" max="10" width="11.109375" bestFit="1" customWidth="1"/>
    <col min="11" max="11" width="23.6640625" bestFit="1" customWidth="1"/>
    <col min="12" max="12" width="12.88671875" bestFit="1" customWidth="1"/>
    <col min="13" max="13" width="7.33203125" bestFit="1" customWidth="1"/>
    <col min="14" max="14" width="15" bestFit="1" customWidth="1"/>
    <col min="15" max="15" width="6.33203125" bestFit="1" customWidth="1"/>
    <col min="16" max="16" width="4" bestFit="1" customWidth="1"/>
  </cols>
  <sheetData>
    <row r="1" spans="1:16" x14ac:dyDescent="0.3">
      <c r="A1" t="s">
        <v>0</v>
      </c>
      <c r="B1" t="s">
        <v>114</v>
      </c>
      <c r="C1" t="s">
        <v>6</v>
      </c>
      <c r="D1" t="s">
        <v>119</v>
      </c>
      <c r="E1" t="s">
        <v>120</v>
      </c>
      <c r="F1" t="s">
        <v>121</v>
      </c>
      <c r="G1" t="s">
        <v>122</v>
      </c>
      <c r="I1" t="s">
        <v>0</v>
      </c>
      <c r="J1" t="s">
        <v>114</v>
      </c>
      <c r="K1" t="s">
        <v>116</v>
      </c>
      <c r="L1" t="s">
        <v>123</v>
      </c>
      <c r="M1" t="s">
        <v>6</v>
      </c>
      <c r="N1" t="s">
        <v>119</v>
      </c>
      <c r="O1" t="s">
        <v>120</v>
      </c>
      <c r="P1" t="s">
        <v>121</v>
      </c>
    </row>
    <row r="2" spans="1:16" x14ac:dyDescent="0.3">
      <c r="I2" t="s">
        <v>124</v>
      </c>
      <c r="J2" s="22">
        <v>42856</v>
      </c>
      <c r="K2" t="s">
        <v>278</v>
      </c>
      <c r="L2">
        <v>6132</v>
      </c>
      <c r="M2">
        <v>3</v>
      </c>
      <c r="N2">
        <v>0</v>
      </c>
    </row>
    <row r="3" spans="1:16" x14ac:dyDescent="0.3">
      <c r="I3" t="s">
        <v>124</v>
      </c>
      <c r="J3" s="22">
        <v>42856</v>
      </c>
      <c r="K3" t="s">
        <v>293</v>
      </c>
      <c r="L3">
        <v>6222</v>
      </c>
      <c r="M3">
        <v>75</v>
      </c>
      <c r="N3">
        <v>0</v>
      </c>
    </row>
    <row r="4" spans="1:16" x14ac:dyDescent="0.3">
      <c r="I4" t="s">
        <v>124</v>
      </c>
      <c r="J4" s="22">
        <v>42856</v>
      </c>
      <c r="K4" t="s">
        <v>256</v>
      </c>
      <c r="L4">
        <v>6113</v>
      </c>
      <c r="M4">
        <v>77</v>
      </c>
      <c r="N4">
        <v>70</v>
      </c>
    </row>
    <row r="5" spans="1:16" x14ac:dyDescent="0.3">
      <c r="I5" t="s">
        <v>124</v>
      </c>
      <c r="J5" s="22">
        <v>42856</v>
      </c>
      <c r="K5" t="s">
        <v>260</v>
      </c>
      <c r="L5">
        <v>6114</v>
      </c>
      <c r="M5">
        <v>68</v>
      </c>
      <c r="N5">
        <v>21</v>
      </c>
    </row>
    <row r="6" spans="1:16" x14ac:dyDescent="0.3">
      <c r="I6" t="s">
        <v>124</v>
      </c>
      <c r="J6" s="22">
        <v>42856</v>
      </c>
      <c r="K6" t="s">
        <v>289</v>
      </c>
      <c r="L6">
        <v>6149</v>
      </c>
      <c r="M6">
        <v>3</v>
      </c>
      <c r="N6">
        <v>0</v>
      </c>
    </row>
    <row r="7" spans="1:16" x14ac:dyDescent="0.3">
      <c r="I7" t="s">
        <v>124</v>
      </c>
      <c r="J7" s="22">
        <v>42857</v>
      </c>
      <c r="K7" t="s">
        <v>269</v>
      </c>
      <c r="L7">
        <v>6107</v>
      </c>
      <c r="M7">
        <v>502</v>
      </c>
      <c r="N7">
        <v>117</v>
      </c>
    </row>
    <row r="8" spans="1:16" x14ac:dyDescent="0.3">
      <c r="I8" t="s">
        <v>124</v>
      </c>
      <c r="J8" s="22">
        <v>42857</v>
      </c>
      <c r="K8" t="s">
        <v>258</v>
      </c>
      <c r="L8">
        <v>6119</v>
      </c>
      <c r="M8">
        <v>76</v>
      </c>
      <c r="N8">
        <v>76</v>
      </c>
    </row>
    <row r="9" spans="1:16" x14ac:dyDescent="0.3">
      <c r="I9" t="s">
        <v>124</v>
      </c>
      <c r="J9" s="22">
        <v>42857</v>
      </c>
      <c r="K9" t="s">
        <v>282</v>
      </c>
      <c r="L9">
        <v>6142</v>
      </c>
      <c r="M9">
        <v>2</v>
      </c>
      <c r="N9">
        <v>0</v>
      </c>
    </row>
    <row r="10" spans="1:16" x14ac:dyDescent="0.3">
      <c r="I10" t="s">
        <v>124</v>
      </c>
      <c r="J10" s="22">
        <v>42857</v>
      </c>
      <c r="K10" t="s">
        <v>270</v>
      </c>
      <c r="L10">
        <v>6110</v>
      </c>
      <c r="M10">
        <v>6</v>
      </c>
      <c r="N10">
        <v>6</v>
      </c>
    </row>
    <row r="11" spans="1:16" x14ac:dyDescent="0.3">
      <c r="I11" t="s">
        <v>124</v>
      </c>
      <c r="J11" s="22">
        <v>42857</v>
      </c>
      <c r="K11" t="s">
        <v>283</v>
      </c>
      <c r="L11">
        <v>6143</v>
      </c>
      <c r="M11">
        <v>3</v>
      </c>
      <c r="N11">
        <v>0</v>
      </c>
    </row>
    <row r="12" spans="1:16" x14ac:dyDescent="0.3">
      <c r="I12" t="s">
        <v>124</v>
      </c>
      <c r="J12" s="22">
        <v>42857</v>
      </c>
      <c r="K12" t="s">
        <v>286</v>
      </c>
      <c r="L12">
        <v>6146</v>
      </c>
      <c r="M12">
        <v>3</v>
      </c>
      <c r="N12">
        <v>0</v>
      </c>
    </row>
    <row r="13" spans="1:16" x14ac:dyDescent="0.3">
      <c r="I13" t="s">
        <v>124</v>
      </c>
      <c r="J13" s="22">
        <v>42858</v>
      </c>
      <c r="K13" t="s">
        <v>265</v>
      </c>
      <c r="L13">
        <v>6118</v>
      </c>
      <c r="M13">
        <v>56</v>
      </c>
      <c r="N13">
        <v>53</v>
      </c>
    </row>
    <row r="14" spans="1:16" x14ac:dyDescent="0.3">
      <c r="I14" t="s">
        <v>124</v>
      </c>
      <c r="J14" s="22">
        <v>42858</v>
      </c>
      <c r="K14" t="s">
        <v>255</v>
      </c>
      <c r="L14">
        <v>6109</v>
      </c>
      <c r="M14">
        <v>885</v>
      </c>
      <c r="N14">
        <v>885</v>
      </c>
    </row>
    <row r="15" spans="1:16" x14ac:dyDescent="0.3">
      <c r="I15" t="s">
        <v>124</v>
      </c>
      <c r="J15" s="22">
        <v>42877</v>
      </c>
      <c r="K15" t="s">
        <v>277</v>
      </c>
      <c r="L15">
        <v>6127</v>
      </c>
      <c r="M15">
        <v>490</v>
      </c>
      <c r="N15">
        <v>3</v>
      </c>
    </row>
    <row r="16" spans="1:16" x14ac:dyDescent="0.3">
      <c r="I16" t="s">
        <v>124</v>
      </c>
      <c r="J16" s="22">
        <v>42877</v>
      </c>
      <c r="K16" t="s">
        <v>255</v>
      </c>
      <c r="L16">
        <v>6109</v>
      </c>
      <c r="M16">
        <v>893</v>
      </c>
      <c r="N16">
        <v>877</v>
      </c>
    </row>
    <row r="17" spans="9:14" x14ac:dyDescent="0.3">
      <c r="I17" t="s">
        <v>124</v>
      </c>
      <c r="J17" s="22">
        <v>42858</v>
      </c>
      <c r="K17" t="s">
        <v>287</v>
      </c>
      <c r="L17">
        <v>6147</v>
      </c>
      <c r="M17">
        <v>1</v>
      </c>
      <c r="N17">
        <v>0</v>
      </c>
    </row>
    <row r="18" spans="9:14" x14ac:dyDescent="0.3">
      <c r="I18" t="s">
        <v>124</v>
      </c>
      <c r="J18" s="22">
        <v>42859</v>
      </c>
      <c r="K18" t="s">
        <v>278</v>
      </c>
      <c r="L18">
        <v>6132</v>
      </c>
      <c r="M18">
        <v>3</v>
      </c>
      <c r="N18">
        <v>0</v>
      </c>
    </row>
    <row r="19" spans="9:14" x14ac:dyDescent="0.3">
      <c r="I19" t="s">
        <v>124</v>
      </c>
      <c r="J19" s="22">
        <v>42877</v>
      </c>
      <c r="K19" t="s">
        <v>324</v>
      </c>
      <c r="L19">
        <v>6591</v>
      </c>
      <c r="M19">
        <v>5</v>
      </c>
      <c r="N19">
        <v>0</v>
      </c>
    </row>
    <row r="20" spans="9:14" x14ac:dyDescent="0.3">
      <c r="I20" t="s">
        <v>124</v>
      </c>
      <c r="J20" s="22">
        <v>42878</v>
      </c>
      <c r="K20" t="s">
        <v>277</v>
      </c>
      <c r="L20">
        <v>6127</v>
      </c>
      <c r="M20">
        <v>354</v>
      </c>
      <c r="N20">
        <v>3</v>
      </c>
    </row>
    <row r="21" spans="9:14" x14ac:dyDescent="0.3">
      <c r="I21" t="s">
        <v>124</v>
      </c>
      <c r="J21" s="22">
        <v>42859</v>
      </c>
      <c r="K21" t="s">
        <v>264</v>
      </c>
      <c r="L21">
        <v>6112</v>
      </c>
      <c r="M21">
        <v>7</v>
      </c>
      <c r="N21">
        <v>4</v>
      </c>
    </row>
    <row r="22" spans="9:14" x14ac:dyDescent="0.3">
      <c r="I22" t="s">
        <v>124</v>
      </c>
      <c r="J22" s="22">
        <v>42859</v>
      </c>
      <c r="K22" t="s">
        <v>283</v>
      </c>
      <c r="L22">
        <v>6143</v>
      </c>
      <c r="M22">
        <v>1</v>
      </c>
      <c r="N22">
        <v>0</v>
      </c>
    </row>
    <row r="23" spans="9:14" x14ac:dyDescent="0.3">
      <c r="I23" t="s">
        <v>124</v>
      </c>
      <c r="J23" s="22">
        <v>42859</v>
      </c>
      <c r="K23" t="s">
        <v>290</v>
      </c>
      <c r="L23">
        <v>6150</v>
      </c>
      <c r="M23">
        <v>1</v>
      </c>
      <c r="N23">
        <v>0</v>
      </c>
    </row>
    <row r="24" spans="9:14" x14ac:dyDescent="0.3">
      <c r="I24" t="s">
        <v>124</v>
      </c>
      <c r="J24" s="22">
        <v>42860</v>
      </c>
      <c r="K24" t="s">
        <v>253</v>
      </c>
      <c r="L24">
        <v>6108</v>
      </c>
      <c r="M24">
        <v>3842</v>
      </c>
      <c r="N24">
        <v>3842</v>
      </c>
    </row>
    <row r="25" spans="9:14" x14ac:dyDescent="0.3">
      <c r="I25" t="s">
        <v>124</v>
      </c>
      <c r="J25" s="22">
        <v>42860</v>
      </c>
      <c r="K25" t="s">
        <v>255</v>
      </c>
      <c r="L25">
        <v>6109</v>
      </c>
      <c r="M25">
        <v>710</v>
      </c>
      <c r="N25">
        <v>708</v>
      </c>
    </row>
    <row r="26" spans="9:14" x14ac:dyDescent="0.3">
      <c r="I26" t="s">
        <v>124</v>
      </c>
      <c r="J26" s="22">
        <v>42878</v>
      </c>
      <c r="K26" t="s">
        <v>274</v>
      </c>
      <c r="L26">
        <v>6124</v>
      </c>
      <c r="M26">
        <v>5</v>
      </c>
      <c r="N26">
        <v>5</v>
      </c>
    </row>
    <row r="27" spans="9:14" x14ac:dyDescent="0.3">
      <c r="I27" t="s">
        <v>124</v>
      </c>
      <c r="J27" s="22">
        <v>42876</v>
      </c>
      <c r="K27" t="s">
        <v>269</v>
      </c>
      <c r="L27">
        <v>6107</v>
      </c>
      <c r="M27">
        <v>6</v>
      </c>
      <c r="N27">
        <v>0</v>
      </c>
    </row>
    <row r="28" spans="9:14" x14ac:dyDescent="0.3">
      <c r="I28" t="s">
        <v>124</v>
      </c>
      <c r="J28" s="22">
        <v>42876</v>
      </c>
      <c r="K28" t="s">
        <v>321</v>
      </c>
      <c r="L28">
        <v>6596</v>
      </c>
      <c r="M28">
        <v>1</v>
      </c>
      <c r="N28">
        <v>0</v>
      </c>
    </row>
    <row r="29" spans="9:14" x14ac:dyDescent="0.3">
      <c r="I29" t="s">
        <v>124</v>
      </c>
      <c r="J29" s="22">
        <v>42860</v>
      </c>
      <c r="K29" t="s">
        <v>276</v>
      </c>
      <c r="L29">
        <v>6126</v>
      </c>
      <c r="M29">
        <v>1</v>
      </c>
      <c r="N29">
        <v>0</v>
      </c>
    </row>
    <row r="30" spans="9:14" x14ac:dyDescent="0.3">
      <c r="I30" t="s">
        <v>124</v>
      </c>
      <c r="J30" s="22">
        <v>42878</v>
      </c>
      <c r="K30" t="s">
        <v>318</v>
      </c>
      <c r="L30">
        <v>6590</v>
      </c>
      <c r="M30">
        <v>18</v>
      </c>
      <c r="N30">
        <v>9</v>
      </c>
    </row>
    <row r="31" spans="9:14" x14ac:dyDescent="0.3">
      <c r="I31" t="s">
        <v>124</v>
      </c>
      <c r="J31" s="22">
        <v>42863</v>
      </c>
      <c r="K31" t="s">
        <v>265</v>
      </c>
      <c r="L31">
        <v>6118</v>
      </c>
      <c r="M31">
        <v>46</v>
      </c>
      <c r="N31">
        <v>37</v>
      </c>
    </row>
    <row r="32" spans="9:14" x14ac:dyDescent="0.3">
      <c r="I32" t="s">
        <v>124</v>
      </c>
      <c r="J32" s="22">
        <v>42863</v>
      </c>
      <c r="K32" t="s">
        <v>274</v>
      </c>
      <c r="L32">
        <v>6124</v>
      </c>
      <c r="M32">
        <v>4</v>
      </c>
      <c r="N32">
        <v>4</v>
      </c>
    </row>
    <row r="33" spans="9:14" x14ac:dyDescent="0.3">
      <c r="I33" t="s">
        <v>124</v>
      </c>
      <c r="J33" s="22">
        <v>42864</v>
      </c>
      <c r="K33" t="s">
        <v>255</v>
      </c>
      <c r="L33">
        <v>6109</v>
      </c>
      <c r="M33">
        <v>854</v>
      </c>
      <c r="N33">
        <v>842</v>
      </c>
    </row>
    <row r="34" spans="9:14" x14ac:dyDescent="0.3">
      <c r="I34" t="s">
        <v>124</v>
      </c>
      <c r="J34" s="22">
        <v>42864</v>
      </c>
      <c r="K34" t="s">
        <v>272</v>
      </c>
      <c r="L34">
        <v>6116</v>
      </c>
      <c r="M34">
        <v>245</v>
      </c>
      <c r="N34">
        <v>0</v>
      </c>
    </row>
    <row r="35" spans="9:14" x14ac:dyDescent="0.3">
      <c r="I35" t="s">
        <v>124</v>
      </c>
      <c r="J35" s="22">
        <v>42864</v>
      </c>
      <c r="K35" t="s">
        <v>273</v>
      </c>
      <c r="L35">
        <v>6123</v>
      </c>
      <c r="M35">
        <v>23</v>
      </c>
      <c r="N35">
        <v>23</v>
      </c>
    </row>
    <row r="36" spans="9:14" x14ac:dyDescent="0.3">
      <c r="I36" t="s">
        <v>124</v>
      </c>
      <c r="J36" s="22">
        <v>42864</v>
      </c>
      <c r="K36" t="s">
        <v>288</v>
      </c>
      <c r="L36">
        <v>6148</v>
      </c>
      <c r="M36">
        <v>2</v>
      </c>
      <c r="N36">
        <v>0</v>
      </c>
    </row>
    <row r="37" spans="9:14" x14ac:dyDescent="0.3">
      <c r="I37" t="s">
        <v>124</v>
      </c>
      <c r="J37" s="22">
        <v>42865</v>
      </c>
      <c r="K37" t="s">
        <v>268</v>
      </c>
      <c r="L37">
        <v>6106</v>
      </c>
      <c r="M37">
        <v>6401</v>
      </c>
      <c r="N37">
        <v>1479</v>
      </c>
    </row>
    <row r="38" spans="9:14" x14ac:dyDescent="0.3">
      <c r="I38" t="s">
        <v>124</v>
      </c>
      <c r="J38" s="22">
        <v>42865</v>
      </c>
      <c r="K38" t="s">
        <v>269</v>
      </c>
      <c r="L38">
        <v>6107</v>
      </c>
      <c r="M38">
        <v>428</v>
      </c>
      <c r="N38">
        <v>83</v>
      </c>
    </row>
    <row r="39" spans="9:14" x14ac:dyDescent="0.3">
      <c r="I39" t="s">
        <v>124</v>
      </c>
      <c r="J39" s="22">
        <v>42865</v>
      </c>
      <c r="K39" t="s">
        <v>272</v>
      </c>
      <c r="L39">
        <v>6116</v>
      </c>
      <c r="M39">
        <v>232</v>
      </c>
      <c r="N39">
        <v>0</v>
      </c>
    </row>
    <row r="40" spans="9:14" x14ac:dyDescent="0.3">
      <c r="I40" t="s">
        <v>124</v>
      </c>
      <c r="J40" s="22">
        <v>42865</v>
      </c>
      <c r="K40" t="s">
        <v>259</v>
      </c>
      <c r="L40">
        <v>6122</v>
      </c>
      <c r="M40">
        <v>38</v>
      </c>
      <c r="N40">
        <v>37</v>
      </c>
    </row>
    <row r="41" spans="9:14" x14ac:dyDescent="0.3">
      <c r="I41" t="s">
        <v>124</v>
      </c>
      <c r="J41" s="22">
        <v>42864</v>
      </c>
      <c r="K41" t="s">
        <v>290</v>
      </c>
      <c r="L41">
        <v>6150</v>
      </c>
      <c r="M41">
        <v>1</v>
      </c>
      <c r="N41">
        <v>0</v>
      </c>
    </row>
    <row r="42" spans="9:14" x14ac:dyDescent="0.3">
      <c r="I42" t="s">
        <v>124</v>
      </c>
      <c r="J42" s="22">
        <v>42865</v>
      </c>
      <c r="K42" t="s">
        <v>287</v>
      </c>
      <c r="L42">
        <v>6147</v>
      </c>
      <c r="M42">
        <v>3</v>
      </c>
      <c r="N42">
        <v>0</v>
      </c>
    </row>
    <row r="43" spans="9:14" x14ac:dyDescent="0.3">
      <c r="I43" t="s">
        <v>124</v>
      </c>
      <c r="J43" s="22">
        <v>42866</v>
      </c>
      <c r="K43" t="s">
        <v>264</v>
      </c>
      <c r="L43">
        <v>6112</v>
      </c>
      <c r="M43">
        <v>1</v>
      </c>
      <c r="N43">
        <v>1</v>
      </c>
    </row>
    <row r="44" spans="9:14" x14ac:dyDescent="0.3">
      <c r="I44" t="s">
        <v>124</v>
      </c>
      <c r="J44" s="22">
        <v>42866</v>
      </c>
      <c r="K44" t="s">
        <v>287</v>
      </c>
      <c r="L44">
        <v>6147</v>
      </c>
      <c r="M44">
        <v>2</v>
      </c>
      <c r="N44">
        <v>0</v>
      </c>
    </row>
    <row r="45" spans="9:14" x14ac:dyDescent="0.3">
      <c r="I45" t="s">
        <v>124</v>
      </c>
      <c r="J45" s="22">
        <v>42866</v>
      </c>
      <c r="K45" t="s">
        <v>288</v>
      </c>
      <c r="L45">
        <v>6148</v>
      </c>
      <c r="M45">
        <v>4</v>
      </c>
      <c r="N45">
        <v>0</v>
      </c>
    </row>
    <row r="46" spans="9:14" x14ac:dyDescent="0.3">
      <c r="I46" t="s">
        <v>124</v>
      </c>
      <c r="J46" s="22">
        <v>42866</v>
      </c>
      <c r="K46" t="s">
        <v>283</v>
      </c>
      <c r="L46">
        <v>6143</v>
      </c>
      <c r="M46">
        <v>2</v>
      </c>
      <c r="N46">
        <v>0</v>
      </c>
    </row>
    <row r="47" spans="9:14" x14ac:dyDescent="0.3">
      <c r="I47" t="s">
        <v>124</v>
      </c>
      <c r="J47" s="22">
        <v>42867</v>
      </c>
      <c r="K47" t="s">
        <v>268</v>
      </c>
      <c r="L47">
        <v>6106</v>
      </c>
      <c r="M47">
        <v>6194</v>
      </c>
      <c r="N47">
        <v>1308</v>
      </c>
    </row>
    <row r="48" spans="9:14" x14ac:dyDescent="0.3">
      <c r="I48" t="s">
        <v>124</v>
      </c>
      <c r="J48" s="22">
        <v>42867</v>
      </c>
      <c r="K48" t="s">
        <v>254</v>
      </c>
      <c r="L48">
        <v>6133</v>
      </c>
      <c r="M48">
        <v>1</v>
      </c>
      <c r="N48">
        <v>1</v>
      </c>
    </row>
    <row r="49" spans="9:14" x14ac:dyDescent="0.3">
      <c r="I49" t="s">
        <v>124</v>
      </c>
      <c r="J49" s="22">
        <v>42867</v>
      </c>
      <c r="K49" t="s">
        <v>285</v>
      </c>
      <c r="L49">
        <v>6145</v>
      </c>
      <c r="M49">
        <v>4</v>
      </c>
      <c r="N49">
        <v>0</v>
      </c>
    </row>
    <row r="50" spans="9:14" x14ac:dyDescent="0.3">
      <c r="I50" t="s">
        <v>124</v>
      </c>
      <c r="J50" s="22">
        <v>42867</v>
      </c>
      <c r="K50" t="s">
        <v>282</v>
      </c>
      <c r="L50">
        <v>6142</v>
      </c>
      <c r="M50">
        <v>7</v>
      </c>
      <c r="N50">
        <v>0</v>
      </c>
    </row>
    <row r="51" spans="9:14" x14ac:dyDescent="0.3">
      <c r="I51" t="s">
        <v>124</v>
      </c>
      <c r="J51" s="22">
        <v>42885</v>
      </c>
      <c r="K51" t="s">
        <v>273</v>
      </c>
      <c r="L51">
        <v>6123</v>
      </c>
      <c r="M51">
        <v>15</v>
      </c>
      <c r="N51">
        <v>14</v>
      </c>
    </row>
    <row r="52" spans="9:14" x14ac:dyDescent="0.3">
      <c r="I52" t="s">
        <v>124</v>
      </c>
      <c r="J52" s="22">
        <v>42885</v>
      </c>
      <c r="K52" t="s">
        <v>284</v>
      </c>
      <c r="L52">
        <v>6144</v>
      </c>
      <c r="M52">
        <v>8</v>
      </c>
      <c r="N52">
        <v>0</v>
      </c>
    </row>
    <row r="53" spans="9:14" x14ac:dyDescent="0.3">
      <c r="I53" t="s">
        <v>124</v>
      </c>
      <c r="J53" s="22">
        <v>42881</v>
      </c>
      <c r="K53" t="s">
        <v>268</v>
      </c>
      <c r="L53">
        <v>6106</v>
      </c>
      <c r="M53">
        <v>5754</v>
      </c>
      <c r="N53">
        <v>0</v>
      </c>
    </row>
    <row r="54" spans="9:14" x14ac:dyDescent="0.3">
      <c r="I54" t="s">
        <v>124</v>
      </c>
      <c r="J54" s="22">
        <v>42881</v>
      </c>
      <c r="K54" t="s">
        <v>277</v>
      </c>
      <c r="L54">
        <v>6127</v>
      </c>
      <c r="M54">
        <v>300</v>
      </c>
      <c r="N54">
        <v>9</v>
      </c>
    </row>
    <row r="55" spans="9:14" x14ac:dyDescent="0.3">
      <c r="I55" t="s">
        <v>124</v>
      </c>
      <c r="J55" s="22">
        <v>42881</v>
      </c>
      <c r="K55" t="s">
        <v>288</v>
      </c>
      <c r="L55">
        <v>6148</v>
      </c>
      <c r="M55">
        <v>1</v>
      </c>
      <c r="N55">
        <v>0</v>
      </c>
    </row>
    <row r="56" spans="9:14" x14ac:dyDescent="0.3">
      <c r="I56" t="s">
        <v>124</v>
      </c>
      <c r="J56" s="22">
        <v>42886</v>
      </c>
      <c r="K56" t="s">
        <v>322</v>
      </c>
      <c r="L56">
        <v>6586</v>
      </c>
      <c r="M56">
        <v>7599</v>
      </c>
      <c r="N56">
        <v>2073</v>
      </c>
    </row>
    <row r="57" spans="9:14" x14ac:dyDescent="0.3">
      <c r="I57" t="s">
        <v>124</v>
      </c>
      <c r="J57" s="22">
        <v>42885</v>
      </c>
      <c r="K57" t="s">
        <v>285</v>
      </c>
      <c r="L57">
        <v>6145</v>
      </c>
      <c r="M57">
        <v>1</v>
      </c>
      <c r="N57">
        <v>0</v>
      </c>
    </row>
    <row r="58" spans="9:14" x14ac:dyDescent="0.3">
      <c r="I58" t="s">
        <v>124</v>
      </c>
      <c r="J58" s="22">
        <v>42881</v>
      </c>
      <c r="K58" t="s">
        <v>327</v>
      </c>
      <c r="L58">
        <v>6593</v>
      </c>
      <c r="M58">
        <v>75</v>
      </c>
      <c r="N58">
        <v>18</v>
      </c>
    </row>
    <row r="59" spans="9:14" x14ac:dyDescent="0.3">
      <c r="I59" t="s">
        <v>124</v>
      </c>
      <c r="J59" s="22">
        <v>42881</v>
      </c>
      <c r="K59" t="s">
        <v>258</v>
      </c>
      <c r="L59">
        <v>6119</v>
      </c>
      <c r="M59">
        <v>58</v>
      </c>
      <c r="N59">
        <v>55</v>
      </c>
    </row>
    <row r="60" spans="9:14" x14ac:dyDescent="0.3">
      <c r="I60" t="s">
        <v>124</v>
      </c>
      <c r="J60" s="22">
        <v>42881</v>
      </c>
      <c r="K60" t="s">
        <v>255</v>
      </c>
      <c r="L60">
        <v>6109</v>
      </c>
      <c r="M60">
        <v>774</v>
      </c>
      <c r="N60">
        <v>659</v>
      </c>
    </row>
    <row r="61" spans="9:14" x14ac:dyDescent="0.3">
      <c r="I61" t="s">
        <v>124</v>
      </c>
      <c r="J61" s="22">
        <v>42881</v>
      </c>
      <c r="K61" t="s">
        <v>320</v>
      </c>
      <c r="L61">
        <v>6598</v>
      </c>
      <c r="M61">
        <v>7</v>
      </c>
      <c r="N61">
        <v>1</v>
      </c>
    </row>
    <row r="62" spans="9:14" x14ac:dyDescent="0.3">
      <c r="I62" t="s">
        <v>124</v>
      </c>
      <c r="J62" s="22">
        <v>42881</v>
      </c>
      <c r="K62" t="s">
        <v>276</v>
      </c>
      <c r="L62">
        <v>6126</v>
      </c>
      <c r="M62">
        <v>3</v>
      </c>
      <c r="N62">
        <v>0</v>
      </c>
    </row>
    <row r="63" spans="9:14" x14ac:dyDescent="0.3">
      <c r="I63" t="s">
        <v>124</v>
      </c>
      <c r="J63" s="22">
        <v>42887</v>
      </c>
      <c r="K63" t="s">
        <v>282</v>
      </c>
      <c r="L63">
        <v>6142</v>
      </c>
      <c r="M63">
        <v>2</v>
      </c>
      <c r="N63">
        <v>0</v>
      </c>
    </row>
    <row r="64" spans="9:14" x14ac:dyDescent="0.3">
      <c r="I64" t="s">
        <v>124</v>
      </c>
      <c r="J64" s="22">
        <v>42887</v>
      </c>
      <c r="K64" t="s">
        <v>292</v>
      </c>
      <c r="L64">
        <v>6221</v>
      </c>
      <c r="M64">
        <v>60</v>
      </c>
      <c r="N64">
        <v>0</v>
      </c>
    </row>
    <row r="65" spans="9:14" x14ac:dyDescent="0.3">
      <c r="I65" t="s">
        <v>124</v>
      </c>
      <c r="J65" s="22">
        <v>42881</v>
      </c>
      <c r="K65" t="s">
        <v>290</v>
      </c>
      <c r="L65">
        <v>6150</v>
      </c>
      <c r="M65">
        <v>3</v>
      </c>
      <c r="N65">
        <v>0</v>
      </c>
    </row>
    <row r="66" spans="9:14" x14ac:dyDescent="0.3">
      <c r="I66" t="s">
        <v>124</v>
      </c>
      <c r="J66" s="22">
        <v>42881</v>
      </c>
      <c r="K66" t="s">
        <v>286</v>
      </c>
      <c r="L66">
        <v>6146</v>
      </c>
      <c r="M66">
        <v>4</v>
      </c>
      <c r="N66">
        <v>0</v>
      </c>
    </row>
    <row r="67" spans="9:14" x14ac:dyDescent="0.3">
      <c r="I67" t="s">
        <v>124</v>
      </c>
      <c r="J67" s="22">
        <v>42887</v>
      </c>
      <c r="K67" t="s">
        <v>263</v>
      </c>
      <c r="L67">
        <v>6120</v>
      </c>
      <c r="M67">
        <v>26</v>
      </c>
      <c r="N67">
        <v>25</v>
      </c>
    </row>
    <row r="68" spans="9:14" x14ac:dyDescent="0.3">
      <c r="I68" t="s">
        <v>124</v>
      </c>
      <c r="J68" s="22">
        <v>42888</v>
      </c>
      <c r="K68" t="s">
        <v>268</v>
      </c>
      <c r="L68">
        <v>6106</v>
      </c>
      <c r="M68">
        <v>6400</v>
      </c>
      <c r="N68">
        <v>0</v>
      </c>
    </row>
    <row r="69" spans="9:14" x14ac:dyDescent="0.3">
      <c r="I69" t="s">
        <v>124</v>
      </c>
      <c r="J69" s="22">
        <v>42888</v>
      </c>
      <c r="K69" t="s">
        <v>330</v>
      </c>
      <c r="L69">
        <v>6594</v>
      </c>
      <c r="M69">
        <v>33</v>
      </c>
      <c r="N69">
        <v>5</v>
      </c>
    </row>
    <row r="70" spans="9:14" x14ac:dyDescent="0.3">
      <c r="I70" t="s">
        <v>124</v>
      </c>
      <c r="J70" s="22">
        <v>42888</v>
      </c>
      <c r="K70" t="s">
        <v>259</v>
      </c>
      <c r="L70">
        <v>6122</v>
      </c>
      <c r="M70">
        <v>35</v>
      </c>
      <c r="N70">
        <v>34</v>
      </c>
    </row>
    <row r="71" spans="9:14" x14ac:dyDescent="0.3">
      <c r="I71" t="s">
        <v>124</v>
      </c>
      <c r="J71" s="22">
        <v>42886</v>
      </c>
      <c r="K71" t="s">
        <v>294</v>
      </c>
      <c r="L71">
        <v>6223</v>
      </c>
      <c r="M71">
        <v>1</v>
      </c>
      <c r="N71">
        <v>0</v>
      </c>
    </row>
    <row r="72" spans="9:14" x14ac:dyDescent="0.3">
      <c r="I72" t="s">
        <v>124</v>
      </c>
      <c r="J72" s="22">
        <v>42862</v>
      </c>
      <c r="K72" t="s">
        <v>269</v>
      </c>
      <c r="L72">
        <v>6107</v>
      </c>
      <c r="M72">
        <v>15</v>
      </c>
      <c r="N72">
        <v>0</v>
      </c>
    </row>
    <row r="73" spans="9:14" x14ac:dyDescent="0.3">
      <c r="I73" t="s">
        <v>124</v>
      </c>
      <c r="J73" s="22">
        <v>42862</v>
      </c>
      <c r="K73" t="s">
        <v>277</v>
      </c>
      <c r="L73">
        <v>6127</v>
      </c>
      <c r="M73">
        <v>199</v>
      </c>
      <c r="N73">
        <v>141</v>
      </c>
    </row>
    <row r="74" spans="9:14" x14ac:dyDescent="0.3">
      <c r="I74" t="s">
        <v>124</v>
      </c>
      <c r="J74" s="22">
        <v>42862</v>
      </c>
      <c r="K74" t="s">
        <v>283</v>
      </c>
      <c r="L74">
        <v>6143</v>
      </c>
      <c r="M74">
        <v>5</v>
      </c>
      <c r="N74">
        <v>0</v>
      </c>
    </row>
    <row r="75" spans="9:14" x14ac:dyDescent="0.3">
      <c r="I75" t="s">
        <v>124</v>
      </c>
      <c r="J75" s="22">
        <v>42887</v>
      </c>
      <c r="K75" t="s">
        <v>273</v>
      </c>
      <c r="L75">
        <v>6123</v>
      </c>
      <c r="M75">
        <v>23</v>
      </c>
      <c r="N75">
        <v>23</v>
      </c>
    </row>
    <row r="76" spans="9:14" x14ac:dyDescent="0.3">
      <c r="I76" t="s">
        <v>124</v>
      </c>
      <c r="J76" s="22">
        <v>42887</v>
      </c>
      <c r="K76" t="s">
        <v>260</v>
      </c>
      <c r="L76">
        <v>6114</v>
      </c>
      <c r="M76">
        <v>37</v>
      </c>
      <c r="N76">
        <v>31</v>
      </c>
    </row>
    <row r="77" spans="9:14" x14ac:dyDescent="0.3">
      <c r="I77" t="s">
        <v>124</v>
      </c>
      <c r="J77" s="22">
        <v>42887</v>
      </c>
      <c r="K77" t="s">
        <v>278</v>
      </c>
      <c r="L77">
        <v>6132</v>
      </c>
      <c r="M77">
        <v>3</v>
      </c>
      <c r="N77">
        <v>0</v>
      </c>
    </row>
    <row r="78" spans="9:14" x14ac:dyDescent="0.3">
      <c r="I78" t="s">
        <v>124</v>
      </c>
      <c r="J78" s="22">
        <v>42888</v>
      </c>
      <c r="K78" t="s">
        <v>320</v>
      </c>
      <c r="L78">
        <v>6598</v>
      </c>
      <c r="M78">
        <v>7</v>
      </c>
      <c r="N78">
        <v>2</v>
      </c>
    </row>
    <row r="79" spans="9:14" x14ac:dyDescent="0.3">
      <c r="I79" t="s">
        <v>124</v>
      </c>
      <c r="J79" s="22">
        <v>42861</v>
      </c>
      <c r="K79" t="s">
        <v>284</v>
      </c>
      <c r="L79">
        <v>6144</v>
      </c>
      <c r="M79">
        <v>2</v>
      </c>
      <c r="N79">
        <v>0</v>
      </c>
    </row>
    <row r="80" spans="9:14" x14ac:dyDescent="0.3">
      <c r="I80" t="s">
        <v>124</v>
      </c>
      <c r="J80" s="22">
        <v>42861</v>
      </c>
      <c r="K80" t="s">
        <v>282</v>
      </c>
      <c r="L80">
        <v>6142</v>
      </c>
      <c r="M80">
        <v>5</v>
      </c>
      <c r="N80">
        <v>0</v>
      </c>
    </row>
    <row r="81" spans="9:14" x14ac:dyDescent="0.3">
      <c r="I81" t="s">
        <v>124</v>
      </c>
      <c r="J81" s="22">
        <v>42856</v>
      </c>
      <c r="K81" t="s">
        <v>292</v>
      </c>
      <c r="L81">
        <v>6221</v>
      </c>
      <c r="M81">
        <v>137</v>
      </c>
      <c r="N81">
        <v>0</v>
      </c>
    </row>
    <row r="82" spans="9:14" x14ac:dyDescent="0.3">
      <c r="I82" t="s">
        <v>124</v>
      </c>
      <c r="J82" s="22">
        <v>42856</v>
      </c>
      <c r="K82" t="s">
        <v>284</v>
      </c>
      <c r="L82">
        <v>6144</v>
      </c>
      <c r="M82">
        <v>4</v>
      </c>
      <c r="N82">
        <v>0</v>
      </c>
    </row>
    <row r="83" spans="9:14" x14ac:dyDescent="0.3">
      <c r="I83" t="s">
        <v>124</v>
      </c>
      <c r="J83" s="22">
        <v>42856</v>
      </c>
      <c r="K83" t="s">
        <v>253</v>
      </c>
      <c r="L83">
        <v>6108</v>
      </c>
      <c r="M83">
        <v>6205</v>
      </c>
      <c r="N83">
        <v>6174</v>
      </c>
    </row>
    <row r="84" spans="9:14" x14ac:dyDescent="0.3">
      <c r="I84" t="s">
        <v>124</v>
      </c>
      <c r="J84" s="22">
        <v>42856</v>
      </c>
      <c r="K84" t="s">
        <v>258</v>
      </c>
      <c r="L84">
        <v>6119</v>
      </c>
      <c r="M84">
        <v>146</v>
      </c>
      <c r="N84">
        <v>140</v>
      </c>
    </row>
    <row r="85" spans="9:14" x14ac:dyDescent="0.3">
      <c r="I85" t="s">
        <v>124</v>
      </c>
      <c r="J85" s="22">
        <v>42857</v>
      </c>
      <c r="K85" t="s">
        <v>277</v>
      </c>
      <c r="L85">
        <v>6127</v>
      </c>
      <c r="M85">
        <v>446</v>
      </c>
      <c r="N85">
        <v>366</v>
      </c>
    </row>
    <row r="86" spans="9:14" x14ac:dyDescent="0.3">
      <c r="I86" t="s">
        <v>124</v>
      </c>
      <c r="J86" s="22">
        <v>42857</v>
      </c>
      <c r="K86" t="s">
        <v>276</v>
      </c>
      <c r="L86">
        <v>6126</v>
      </c>
      <c r="M86">
        <v>3</v>
      </c>
      <c r="N86">
        <v>0</v>
      </c>
    </row>
    <row r="87" spans="9:14" x14ac:dyDescent="0.3">
      <c r="I87" t="s">
        <v>124</v>
      </c>
      <c r="J87" s="22">
        <v>42857</v>
      </c>
      <c r="K87" t="s">
        <v>253</v>
      </c>
      <c r="L87">
        <v>6108</v>
      </c>
      <c r="M87">
        <v>5339</v>
      </c>
      <c r="N87">
        <v>5338</v>
      </c>
    </row>
    <row r="88" spans="9:14" x14ac:dyDescent="0.3">
      <c r="I88" t="s">
        <v>124</v>
      </c>
      <c r="J88" s="22">
        <v>42857</v>
      </c>
      <c r="K88" t="s">
        <v>256</v>
      </c>
      <c r="L88">
        <v>6113</v>
      </c>
      <c r="M88">
        <v>60</v>
      </c>
      <c r="N88">
        <v>60</v>
      </c>
    </row>
    <row r="89" spans="9:14" x14ac:dyDescent="0.3">
      <c r="I89" t="s">
        <v>124</v>
      </c>
      <c r="J89" s="22">
        <v>42857</v>
      </c>
      <c r="K89" t="s">
        <v>260</v>
      </c>
      <c r="L89">
        <v>6114</v>
      </c>
      <c r="M89">
        <v>47</v>
      </c>
      <c r="N89">
        <v>39</v>
      </c>
    </row>
    <row r="90" spans="9:14" x14ac:dyDescent="0.3">
      <c r="I90" t="s">
        <v>124</v>
      </c>
      <c r="J90" s="22">
        <v>42857</v>
      </c>
      <c r="K90" t="s">
        <v>265</v>
      </c>
      <c r="L90">
        <v>6118</v>
      </c>
      <c r="M90">
        <v>47</v>
      </c>
      <c r="N90">
        <v>45</v>
      </c>
    </row>
    <row r="91" spans="9:14" x14ac:dyDescent="0.3">
      <c r="I91" t="s">
        <v>124</v>
      </c>
      <c r="J91" s="22">
        <v>42858</v>
      </c>
      <c r="K91" t="s">
        <v>293</v>
      </c>
      <c r="L91">
        <v>6222</v>
      </c>
      <c r="M91">
        <v>8</v>
      </c>
      <c r="N91">
        <v>0</v>
      </c>
    </row>
    <row r="92" spans="9:14" x14ac:dyDescent="0.3">
      <c r="I92" t="s">
        <v>124</v>
      </c>
      <c r="J92" s="22">
        <v>42858</v>
      </c>
      <c r="K92" t="s">
        <v>259</v>
      </c>
      <c r="L92">
        <v>6122</v>
      </c>
      <c r="M92">
        <v>21</v>
      </c>
      <c r="N92">
        <v>20</v>
      </c>
    </row>
    <row r="93" spans="9:14" x14ac:dyDescent="0.3">
      <c r="I93" t="s">
        <v>124</v>
      </c>
      <c r="J93" s="22">
        <v>42858</v>
      </c>
      <c r="K93" t="s">
        <v>263</v>
      </c>
      <c r="L93">
        <v>6120</v>
      </c>
      <c r="M93">
        <v>28</v>
      </c>
      <c r="N93">
        <v>26</v>
      </c>
    </row>
    <row r="94" spans="9:14" x14ac:dyDescent="0.3">
      <c r="I94" t="s">
        <v>124</v>
      </c>
      <c r="J94" s="22">
        <v>42858</v>
      </c>
      <c r="K94" t="s">
        <v>254</v>
      </c>
      <c r="L94">
        <v>6133</v>
      </c>
      <c r="M94">
        <v>2</v>
      </c>
      <c r="N94">
        <v>2</v>
      </c>
    </row>
    <row r="95" spans="9:14" x14ac:dyDescent="0.3">
      <c r="I95" t="s">
        <v>124</v>
      </c>
      <c r="J95" s="22">
        <v>42858</v>
      </c>
      <c r="K95" t="s">
        <v>283</v>
      </c>
      <c r="L95">
        <v>6143</v>
      </c>
      <c r="M95">
        <v>2</v>
      </c>
      <c r="N95">
        <v>0</v>
      </c>
    </row>
    <row r="96" spans="9:14" x14ac:dyDescent="0.3">
      <c r="I96" t="s">
        <v>124</v>
      </c>
      <c r="J96" s="22">
        <v>42877</v>
      </c>
      <c r="K96" t="s">
        <v>253</v>
      </c>
      <c r="L96">
        <v>6108</v>
      </c>
      <c r="M96">
        <v>5070</v>
      </c>
      <c r="N96">
        <v>5060</v>
      </c>
    </row>
    <row r="97" spans="9:14" x14ac:dyDescent="0.3">
      <c r="I97" t="s">
        <v>124</v>
      </c>
      <c r="J97" s="22">
        <v>42877</v>
      </c>
      <c r="K97" t="s">
        <v>272</v>
      </c>
      <c r="L97">
        <v>6116</v>
      </c>
      <c r="M97">
        <v>233</v>
      </c>
      <c r="N97">
        <v>0</v>
      </c>
    </row>
    <row r="98" spans="9:14" x14ac:dyDescent="0.3">
      <c r="I98" t="s">
        <v>124</v>
      </c>
      <c r="J98" s="22">
        <v>42858</v>
      </c>
      <c r="K98" t="s">
        <v>289</v>
      </c>
      <c r="L98">
        <v>6149</v>
      </c>
      <c r="M98">
        <v>1</v>
      </c>
      <c r="N98">
        <v>0</v>
      </c>
    </row>
    <row r="99" spans="9:14" x14ac:dyDescent="0.3">
      <c r="I99" t="s">
        <v>124</v>
      </c>
      <c r="J99" s="22">
        <v>42858</v>
      </c>
      <c r="K99" t="s">
        <v>285</v>
      </c>
      <c r="L99">
        <v>6145</v>
      </c>
      <c r="M99">
        <v>1</v>
      </c>
      <c r="N99">
        <v>0</v>
      </c>
    </row>
    <row r="100" spans="9:14" x14ac:dyDescent="0.3">
      <c r="I100" t="s">
        <v>124</v>
      </c>
      <c r="J100" s="22">
        <v>42877</v>
      </c>
      <c r="K100" t="s">
        <v>283</v>
      </c>
      <c r="L100">
        <v>6143</v>
      </c>
      <c r="M100">
        <v>3</v>
      </c>
      <c r="N100">
        <v>0</v>
      </c>
    </row>
    <row r="101" spans="9:14" x14ac:dyDescent="0.3">
      <c r="I101" t="s">
        <v>124</v>
      </c>
      <c r="J101" s="22">
        <v>42877</v>
      </c>
      <c r="K101" t="s">
        <v>319</v>
      </c>
      <c r="L101">
        <v>6592</v>
      </c>
      <c r="M101">
        <v>33</v>
      </c>
      <c r="N101">
        <v>15</v>
      </c>
    </row>
    <row r="102" spans="9:14" x14ac:dyDescent="0.3">
      <c r="I102" t="s">
        <v>124</v>
      </c>
      <c r="J102" s="22">
        <v>42877</v>
      </c>
      <c r="K102" t="s">
        <v>265</v>
      </c>
      <c r="L102">
        <v>6118</v>
      </c>
      <c r="M102">
        <v>36</v>
      </c>
      <c r="N102">
        <v>31</v>
      </c>
    </row>
    <row r="103" spans="9:14" x14ac:dyDescent="0.3">
      <c r="I103" t="s">
        <v>124</v>
      </c>
      <c r="J103" s="22">
        <v>42877</v>
      </c>
      <c r="K103" t="s">
        <v>286</v>
      </c>
      <c r="L103">
        <v>6146</v>
      </c>
      <c r="M103">
        <v>2</v>
      </c>
      <c r="N103">
        <v>0</v>
      </c>
    </row>
    <row r="104" spans="9:14" x14ac:dyDescent="0.3">
      <c r="I104" t="s">
        <v>124</v>
      </c>
      <c r="J104" s="22">
        <v>42877</v>
      </c>
      <c r="K104" t="s">
        <v>279</v>
      </c>
      <c r="L104">
        <v>6139</v>
      </c>
      <c r="M104">
        <v>1</v>
      </c>
      <c r="N104">
        <v>0</v>
      </c>
    </row>
    <row r="105" spans="9:14" x14ac:dyDescent="0.3">
      <c r="I105" t="s">
        <v>124</v>
      </c>
      <c r="J105" s="22">
        <v>42878</v>
      </c>
      <c r="K105" t="s">
        <v>292</v>
      </c>
      <c r="L105">
        <v>6221</v>
      </c>
      <c r="M105">
        <v>47</v>
      </c>
      <c r="N105">
        <v>0</v>
      </c>
    </row>
    <row r="106" spans="9:14" x14ac:dyDescent="0.3">
      <c r="I106" t="s">
        <v>124</v>
      </c>
      <c r="J106" s="22">
        <v>42859</v>
      </c>
      <c r="K106" t="s">
        <v>256</v>
      </c>
      <c r="L106">
        <v>6113</v>
      </c>
      <c r="M106">
        <v>56</v>
      </c>
      <c r="N106">
        <v>56</v>
      </c>
    </row>
    <row r="107" spans="9:14" x14ac:dyDescent="0.3">
      <c r="I107" t="s">
        <v>124</v>
      </c>
      <c r="J107" s="22">
        <v>42860</v>
      </c>
      <c r="K107" t="s">
        <v>292</v>
      </c>
      <c r="L107">
        <v>6221</v>
      </c>
      <c r="M107">
        <v>46</v>
      </c>
      <c r="N107">
        <v>0</v>
      </c>
    </row>
    <row r="108" spans="9:14" x14ac:dyDescent="0.3">
      <c r="I108" t="s">
        <v>124</v>
      </c>
      <c r="J108" s="22">
        <v>42860</v>
      </c>
      <c r="K108" t="s">
        <v>272</v>
      </c>
      <c r="L108">
        <v>6116</v>
      </c>
      <c r="M108">
        <v>210</v>
      </c>
      <c r="N108">
        <v>1</v>
      </c>
    </row>
    <row r="109" spans="9:14" x14ac:dyDescent="0.3">
      <c r="I109" t="s">
        <v>124</v>
      </c>
      <c r="J109" s="22">
        <v>42860</v>
      </c>
      <c r="K109" t="s">
        <v>265</v>
      </c>
      <c r="L109">
        <v>6118</v>
      </c>
      <c r="M109">
        <v>28</v>
      </c>
      <c r="N109">
        <v>25</v>
      </c>
    </row>
    <row r="110" spans="9:14" x14ac:dyDescent="0.3">
      <c r="I110" t="s">
        <v>124</v>
      </c>
      <c r="J110" s="22">
        <v>42860</v>
      </c>
      <c r="K110" t="s">
        <v>262</v>
      </c>
      <c r="L110">
        <v>6121</v>
      </c>
      <c r="M110">
        <v>30</v>
      </c>
      <c r="N110">
        <v>28</v>
      </c>
    </row>
    <row r="111" spans="9:14" x14ac:dyDescent="0.3">
      <c r="I111" t="s">
        <v>124</v>
      </c>
      <c r="J111" s="22">
        <v>42876</v>
      </c>
      <c r="K111" t="s">
        <v>276</v>
      </c>
      <c r="L111">
        <v>6126</v>
      </c>
      <c r="M111">
        <v>3</v>
      </c>
      <c r="N111">
        <v>0</v>
      </c>
    </row>
    <row r="112" spans="9:14" x14ac:dyDescent="0.3">
      <c r="I112" t="s">
        <v>124</v>
      </c>
      <c r="J112" s="22">
        <v>42876</v>
      </c>
      <c r="K112" t="s">
        <v>292</v>
      </c>
      <c r="L112">
        <v>6221</v>
      </c>
      <c r="M112">
        <v>25</v>
      </c>
      <c r="N112">
        <v>0</v>
      </c>
    </row>
    <row r="113" spans="9:14" x14ac:dyDescent="0.3">
      <c r="I113" t="s">
        <v>124</v>
      </c>
      <c r="J113" s="22">
        <v>42861</v>
      </c>
      <c r="K113" t="s">
        <v>268</v>
      </c>
      <c r="L113">
        <v>6106</v>
      </c>
      <c r="M113">
        <v>418</v>
      </c>
      <c r="N113">
        <v>0</v>
      </c>
    </row>
    <row r="114" spans="9:14" x14ac:dyDescent="0.3">
      <c r="I114" t="s">
        <v>124</v>
      </c>
      <c r="J114" s="22">
        <v>42878</v>
      </c>
      <c r="K114" t="s">
        <v>327</v>
      </c>
      <c r="L114">
        <v>6593</v>
      </c>
      <c r="M114">
        <v>97</v>
      </c>
      <c r="N114">
        <v>22</v>
      </c>
    </row>
    <row r="115" spans="9:14" x14ac:dyDescent="0.3">
      <c r="I115" t="s">
        <v>124</v>
      </c>
      <c r="J115" s="22">
        <v>42878</v>
      </c>
      <c r="K115" t="s">
        <v>255</v>
      </c>
      <c r="L115">
        <v>6109</v>
      </c>
      <c r="M115">
        <v>810</v>
      </c>
      <c r="N115">
        <v>809</v>
      </c>
    </row>
    <row r="116" spans="9:14" x14ac:dyDescent="0.3">
      <c r="I116" t="s">
        <v>124</v>
      </c>
      <c r="J116" s="22">
        <v>42878</v>
      </c>
      <c r="K116" t="s">
        <v>257</v>
      </c>
      <c r="L116">
        <v>6115</v>
      </c>
      <c r="M116">
        <v>84</v>
      </c>
      <c r="N116">
        <v>84</v>
      </c>
    </row>
    <row r="117" spans="9:14" x14ac:dyDescent="0.3">
      <c r="I117" t="s">
        <v>124</v>
      </c>
      <c r="J117" s="22">
        <v>42876</v>
      </c>
      <c r="K117" t="s">
        <v>286</v>
      </c>
      <c r="L117">
        <v>6146</v>
      </c>
      <c r="M117">
        <v>1</v>
      </c>
      <c r="N117">
        <v>0</v>
      </c>
    </row>
    <row r="118" spans="9:14" x14ac:dyDescent="0.3">
      <c r="I118" t="s">
        <v>124</v>
      </c>
      <c r="J118" s="22">
        <v>42876</v>
      </c>
      <c r="K118" t="s">
        <v>285</v>
      </c>
      <c r="L118">
        <v>6145</v>
      </c>
      <c r="M118">
        <v>1</v>
      </c>
      <c r="N118">
        <v>0</v>
      </c>
    </row>
    <row r="119" spans="9:14" x14ac:dyDescent="0.3">
      <c r="I119" t="s">
        <v>124</v>
      </c>
      <c r="J119" s="22">
        <v>42876</v>
      </c>
      <c r="K119" t="s">
        <v>282</v>
      </c>
      <c r="L119">
        <v>6142</v>
      </c>
      <c r="M119">
        <v>1</v>
      </c>
      <c r="N119">
        <v>0</v>
      </c>
    </row>
    <row r="120" spans="9:14" x14ac:dyDescent="0.3">
      <c r="I120" t="s">
        <v>124</v>
      </c>
      <c r="J120" s="22">
        <v>42879</v>
      </c>
      <c r="K120" t="s">
        <v>322</v>
      </c>
      <c r="L120">
        <v>6586</v>
      </c>
      <c r="M120">
        <v>10</v>
      </c>
      <c r="N120">
        <v>7</v>
      </c>
    </row>
    <row r="121" spans="9:14" x14ac:dyDescent="0.3">
      <c r="I121" t="s">
        <v>124</v>
      </c>
      <c r="J121" s="22">
        <v>42878</v>
      </c>
      <c r="K121" t="s">
        <v>282</v>
      </c>
      <c r="L121">
        <v>6142</v>
      </c>
      <c r="M121">
        <v>1</v>
      </c>
      <c r="N121">
        <v>0</v>
      </c>
    </row>
    <row r="122" spans="9:14" x14ac:dyDescent="0.3">
      <c r="I122" t="s">
        <v>124</v>
      </c>
      <c r="J122" s="22">
        <v>42863</v>
      </c>
      <c r="K122" t="s">
        <v>258</v>
      </c>
      <c r="L122">
        <v>6119</v>
      </c>
      <c r="M122">
        <v>128</v>
      </c>
      <c r="N122">
        <v>127</v>
      </c>
    </row>
    <row r="123" spans="9:14" x14ac:dyDescent="0.3">
      <c r="I123" t="s">
        <v>124</v>
      </c>
      <c r="J123" s="22">
        <v>42863</v>
      </c>
      <c r="K123" t="s">
        <v>272</v>
      </c>
      <c r="L123">
        <v>6116</v>
      </c>
      <c r="M123">
        <v>263</v>
      </c>
      <c r="N123">
        <v>1</v>
      </c>
    </row>
    <row r="124" spans="9:14" x14ac:dyDescent="0.3">
      <c r="I124" t="s">
        <v>124</v>
      </c>
      <c r="J124" s="22">
        <v>42863</v>
      </c>
      <c r="K124" t="s">
        <v>262</v>
      </c>
      <c r="L124">
        <v>6121</v>
      </c>
      <c r="M124">
        <v>34</v>
      </c>
      <c r="N124">
        <v>33</v>
      </c>
    </row>
    <row r="125" spans="9:14" x14ac:dyDescent="0.3">
      <c r="I125" t="s">
        <v>124</v>
      </c>
      <c r="J125" s="22">
        <v>42864</v>
      </c>
      <c r="K125" t="s">
        <v>265</v>
      </c>
      <c r="L125">
        <v>6118</v>
      </c>
      <c r="M125">
        <v>27</v>
      </c>
      <c r="N125">
        <v>26</v>
      </c>
    </row>
    <row r="126" spans="9:14" x14ac:dyDescent="0.3">
      <c r="I126" t="s">
        <v>124</v>
      </c>
      <c r="J126" s="22">
        <v>42864</v>
      </c>
      <c r="K126" t="s">
        <v>262</v>
      </c>
      <c r="L126">
        <v>6121</v>
      </c>
      <c r="M126">
        <v>23</v>
      </c>
      <c r="N126">
        <v>22</v>
      </c>
    </row>
    <row r="127" spans="9:14" x14ac:dyDescent="0.3">
      <c r="I127" t="s">
        <v>124</v>
      </c>
      <c r="J127" s="22">
        <v>42864</v>
      </c>
      <c r="K127" t="s">
        <v>277</v>
      </c>
      <c r="L127">
        <v>6127</v>
      </c>
      <c r="M127">
        <v>409</v>
      </c>
      <c r="N127">
        <v>330</v>
      </c>
    </row>
    <row r="128" spans="9:14" x14ac:dyDescent="0.3">
      <c r="I128" t="s">
        <v>124</v>
      </c>
      <c r="J128" s="22">
        <v>42864</v>
      </c>
      <c r="K128" t="s">
        <v>287</v>
      </c>
      <c r="L128">
        <v>6147</v>
      </c>
      <c r="M128">
        <v>2</v>
      </c>
      <c r="N128">
        <v>0</v>
      </c>
    </row>
    <row r="129" spans="9:14" x14ac:dyDescent="0.3">
      <c r="I129" t="s">
        <v>124</v>
      </c>
      <c r="J129" s="22">
        <v>42865</v>
      </c>
      <c r="K129" t="s">
        <v>253</v>
      </c>
      <c r="L129">
        <v>6108</v>
      </c>
      <c r="M129">
        <v>4103</v>
      </c>
      <c r="N129">
        <v>4098</v>
      </c>
    </row>
    <row r="130" spans="9:14" x14ac:dyDescent="0.3">
      <c r="I130" t="s">
        <v>124</v>
      </c>
      <c r="J130" s="22">
        <v>42865</v>
      </c>
      <c r="K130" t="s">
        <v>273</v>
      </c>
      <c r="L130">
        <v>6123</v>
      </c>
      <c r="M130">
        <v>16</v>
      </c>
      <c r="N130">
        <v>15</v>
      </c>
    </row>
    <row r="131" spans="9:14" x14ac:dyDescent="0.3">
      <c r="I131" t="s">
        <v>124</v>
      </c>
      <c r="J131" s="22">
        <v>42865</v>
      </c>
      <c r="K131" t="s">
        <v>270</v>
      </c>
      <c r="L131">
        <v>6110</v>
      </c>
      <c r="M131">
        <v>10</v>
      </c>
      <c r="N131">
        <v>10</v>
      </c>
    </row>
    <row r="132" spans="9:14" x14ac:dyDescent="0.3">
      <c r="I132" t="s">
        <v>124</v>
      </c>
      <c r="J132" s="22">
        <v>42866</v>
      </c>
      <c r="K132" t="s">
        <v>292</v>
      </c>
      <c r="L132">
        <v>6221</v>
      </c>
      <c r="M132">
        <v>61</v>
      </c>
      <c r="N132">
        <v>0</v>
      </c>
    </row>
    <row r="133" spans="9:14" x14ac:dyDescent="0.3">
      <c r="I133" t="s">
        <v>124</v>
      </c>
      <c r="J133" s="22">
        <v>42866</v>
      </c>
      <c r="K133" t="s">
        <v>293</v>
      </c>
      <c r="L133">
        <v>6222</v>
      </c>
      <c r="M133">
        <v>21</v>
      </c>
      <c r="N133">
        <v>0</v>
      </c>
    </row>
    <row r="134" spans="9:14" x14ac:dyDescent="0.3">
      <c r="I134" t="s">
        <v>124</v>
      </c>
      <c r="J134" s="22">
        <v>42866</v>
      </c>
      <c r="K134" t="s">
        <v>257</v>
      </c>
      <c r="L134">
        <v>6115</v>
      </c>
      <c r="M134">
        <v>39</v>
      </c>
      <c r="N134">
        <v>38</v>
      </c>
    </row>
    <row r="135" spans="9:14" x14ac:dyDescent="0.3">
      <c r="I135" t="s">
        <v>124</v>
      </c>
      <c r="J135" s="22">
        <v>42866</v>
      </c>
      <c r="K135" t="s">
        <v>258</v>
      </c>
      <c r="L135">
        <v>6119</v>
      </c>
      <c r="M135">
        <v>57</v>
      </c>
      <c r="N135">
        <v>54</v>
      </c>
    </row>
    <row r="136" spans="9:14" x14ac:dyDescent="0.3">
      <c r="I136" t="s">
        <v>124</v>
      </c>
      <c r="J136" s="22">
        <v>42866</v>
      </c>
      <c r="K136" t="s">
        <v>284</v>
      </c>
      <c r="L136">
        <v>6144</v>
      </c>
      <c r="M136">
        <v>2</v>
      </c>
      <c r="N136">
        <v>0</v>
      </c>
    </row>
    <row r="137" spans="9:14" x14ac:dyDescent="0.3">
      <c r="I137" t="s">
        <v>124</v>
      </c>
      <c r="J137" s="22">
        <v>42866</v>
      </c>
      <c r="K137" t="s">
        <v>276</v>
      </c>
      <c r="L137">
        <v>6126</v>
      </c>
      <c r="M137">
        <v>1</v>
      </c>
      <c r="N137">
        <v>0</v>
      </c>
    </row>
    <row r="138" spans="9:14" x14ac:dyDescent="0.3">
      <c r="I138" t="s">
        <v>124</v>
      </c>
      <c r="J138" s="22">
        <v>42867</v>
      </c>
      <c r="K138" t="s">
        <v>283</v>
      </c>
      <c r="L138">
        <v>6143</v>
      </c>
      <c r="M138">
        <v>1</v>
      </c>
      <c r="N138">
        <v>0</v>
      </c>
    </row>
    <row r="139" spans="9:14" x14ac:dyDescent="0.3">
      <c r="I139" t="s">
        <v>124</v>
      </c>
      <c r="J139" s="22">
        <v>42867</v>
      </c>
      <c r="K139" t="s">
        <v>259</v>
      </c>
      <c r="L139">
        <v>6122</v>
      </c>
      <c r="M139">
        <v>26</v>
      </c>
      <c r="N139">
        <v>24</v>
      </c>
    </row>
    <row r="140" spans="9:14" x14ac:dyDescent="0.3">
      <c r="I140" t="s">
        <v>124</v>
      </c>
      <c r="J140" s="22">
        <v>42867</v>
      </c>
      <c r="K140" t="s">
        <v>274</v>
      </c>
      <c r="L140">
        <v>6124</v>
      </c>
      <c r="M140">
        <v>10</v>
      </c>
      <c r="N140">
        <v>10</v>
      </c>
    </row>
    <row r="141" spans="9:14" x14ac:dyDescent="0.3">
      <c r="I141" t="s">
        <v>124</v>
      </c>
      <c r="J141" s="22">
        <v>42867</v>
      </c>
      <c r="K141" t="s">
        <v>273</v>
      </c>
      <c r="L141">
        <v>6123</v>
      </c>
      <c r="M141">
        <v>11</v>
      </c>
      <c r="N141">
        <v>11</v>
      </c>
    </row>
    <row r="142" spans="9:14" x14ac:dyDescent="0.3">
      <c r="I142" t="s">
        <v>124</v>
      </c>
      <c r="J142" s="22">
        <v>42867</v>
      </c>
      <c r="K142" t="s">
        <v>287</v>
      </c>
      <c r="L142">
        <v>6147</v>
      </c>
      <c r="M142">
        <v>7</v>
      </c>
      <c r="N142">
        <v>0</v>
      </c>
    </row>
    <row r="143" spans="9:14" x14ac:dyDescent="0.3">
      <c r="I143" t="s">
        <v>124</v>
      </c>
      <c r="J143" s="22">
        <v>42868</v>
      </c>
      <c r="K143" t="s">
        <v>268</v>
      </c>
      <c r="L143">
        <v>6106</v>
      </c>
      <c r="M143">
        <v>14</v>
      </c>
      <c r="N143">
        <v>0</v>
      </c>
    </row>
    <row r="144" spans="9:14" x14ac:dyDescent="0.3">
      <c r="I144" t="s">
        <v>124</v>
      </c>
      <c r="J144" s="22">
        <v>42868</v>
      </c>
      <c r="K144" t="s">
        <v>292</v>
      </c>
      <c r="L144">
        <v>6221</v>
      </c>
      <c r="M144">
        <v>2</v>
      </c>
      <c r="N144">
        <v>0</v>
      </c>
    </row>
    <row r="145" spans="9:14" x14ac:dyDescent="0.3">
      <c r="I145" t="s">
        <v>124</v>
      </c>
      <c r="J145" s="22">
        <v>42885</v>
      </c>
      <c r="K145" t="s">
        <v>329</v>
      </c>
      <c r="L145">
        <v>6587</v>
      </c>
      <c r="M145">
        <v>1234</v>
      </c>
      <c r="N145">
        <v>313</v>
      </c>
    </row>
    <row r="146" spans="9:14" x14ac:dyDescent="0.3">
      <c r="I146" t="s">
        <v>124</v>
      </c>
      <c r="J146" s="22">
        <v>42885</v>
      </c>
      <c r="K146" t="s">
        <v>323</v>
      </c>
      <c r="L146">
        <v>6588</v>
      </c>
      <c r="M146">
        <v>69</v>
      </c>
      <c r="N146">
        <v>15</v>
      </c>
    </row>
    <row r="147" spans="9:14" x14ac:dyDescent="0.3">
      <c r="I147" t="s">
        <v>124</v>
      </c>
      <c r="J147" s="22">
        <v>42885</v>
      </c>
      <c r="K147" t="s">
        <v>327</v>
      </c>
      <c r="L147">
        <v>6593</v>
      </c>
      <c r="M147">
        <v>145</v>
      </c>
      <c r="N147">
        <v>34</v>
      </c>
    </row>
    <row r="148" spans="9:14" x14ac:dyDescent="0.3">
      <c r="I148" t="s">
        <v>124</v>
      </c>
      <c r="J148" s="22">
        <v>42885</v>
      </c>
      <c r="K148" t="s">
        <v>321</v>
      </c>
      <c r="L148">
        <v>6596</v>
      </c>
      <c r="M148">
        <v>114</v>
      </c>
      <c r="N148">
        <v>32</v>
      </c>
    </row>
    <row r="149" spans="9:14" x14ac:dyDescent="0.3">
      <c r="I149" t="s">
        <v>124</v>
      </c>
      <c r="J149" s="22">
        <v>42885</v>
      </c>
      <c r="K149" t="s">
        <v>259</v>
      </c>
      <c r="L149">
        <v>6122</v>
      </c>
      <c r="M149">
        <v>55</v>
      </c>
      <c r="N149">
        <v>50</v>
      </c>
    </row>
    <row r="150" spans="9:14" x14ac:dyDescent="0.3">
      <c r="I150" t="s">
        <v>124</v>
      </c>
      <c r="J150" s="22">
        <v>42885</v>
      </c>
      <c r="K150" t="s">
        <v>262</v>
      </c>
      <c r="L150">
        <v>6121</v>
      </c>
      <c r="M150">
        <v>46</v>
      </c>
      <c r="N150">
        <v>34</v>
      </c>
    </row>
    <row r="151" spans="9:14" x14ac:dyDescent="0.3">
      <c r="I151" t="s">
        <v>124</v>
      </c>
      <c r="J151" s="22">
        <v>42885</v>
      </c>
      <c r="K151" t="s">
        <v>293</v>
      </c>
      <c r="L151">
        <v>6222</v>
      </c>
      <c r="M151">
        <v>63</v>
      </c>
      <c r="N151">
        <v>0</v>
      </c>
    </row>
    <row r="152" spans="9:14" x14ac:dyDescent="0.3">
      <c r="I152" t="s">
        <v>124</v>
      </c>
      <c r="J152" s="22">
        <v>42886</v>
      </c>
      <c r="K152" t="s">
        <v>268</v>
      </c>
      <c r="L152">
        <v>6106</v>
      </c>
      <c r="M152">
        <v>8703</v>
      </c>
      <c r="N152">
        <v>0</v>
      </c>
    </row>
    <row r="153" spans="9:14" x14ac:dyDescent="0.3">
      <c r="I153" t="s">
        <v>124</v>
      </c>
      <c r="J153" s="22">
        <v>42881</v>
      </c>
      <c r="K153" t="s">
        <v>260</v>
      </c>
      <c r="L153">
        <v>6114</v>
      </c>
      <c r="M153">
        <v>26</v>
      </c>
      <c r="N153">
        <v>20</v>
      </c>
    </row>
    <row r="154" spans="9:14" x14ac:dyDescent="0.3">
      <c r="I154" t="s">
        <v>124</v>
      </c>
      <c r="J154" s="22">
        <v>42881</v>
      </c>
      <c r="K154" t="s">
        <v>272</v>
      </c>
      <c r="L154">
        <v>6116</v>
      </c>
      <c r="M154">
        <v>178</v>
      </c>
      <c r="N154">
        <v>1</v>
      </c>
    </row>
    <row r="155" spans="9:14" x14ac:dyDescent="0.3">
      <c r="I155" t="s">
        <v>124</v>
      </c>
      <c r="J155" s="22">
        <v>42881</v>
      </c>
      <c r="K155" t="s">
        <v>263</v>
      </c>
      <c r="L155">
        <v>6120</v>
      </c>
      <c r="M155">
        <v>26</v>
      </c>
      <c r="N155">
        <v>22</v>
      </c>
    </row>
    <row r="156" spans="9:14" x14ac:dyDescent="0.3">
      <c r="I156" t="s">
        <v>124</v>
      </c>
      <c r="J156" s="22">
        <v>42881</v>
      </c>
      <c r="K156" t="s">
        <v>259</v>
      </c>
      <c r="L156">
        <v>6122</v>
      </c>
      <c r="M156">
        <v>37</v>
      </c>
      <c r="N156">
        <v>34</v>
      </c>
    </row>
    <row r="157" spans="9:14" x14ac:dyDescent="0.3">
      <c r="I157" t="s">
        <v>124</v>
      </c>
      <c r="J157" s="22">
        <v>42881</v>
      </c>
      <c r="K157" t="s">
        <v>331</v>
      </c>
      <c r="L157">
        <v>6597</v>
      </c>
      <c r="M157">
        <v>62</v>
      </c>
      <c r="N157">
        <v>12</v>
      </c>
    </row>
    <row r="158" spans="9:14" x14ac:dyDescent="0.3">
      <c r="I158" t="s">
        <v>124</v>
      </c>
      <c r="J158" s="22">
        <v>42881</v>
      </c>
      <c r="K158" t="s">
        <v>270</v>
      </c>
      <c r="L158">
        <v>6110</v>
      </c>
      <c r="M158">
        <v>4</v>
      </c>
      <c r="N158">
        <v>4</v>
      </c>
    </row>
    <row r="159" spans="9:14" x14ac:dyDescent="0.3">
      <c r="I159" t="s">
        <v>124</v>
      </c>
      <c r="J159" s="22">
        <v>42887</v>
      </c>
      <c r="K159" t="s">
        <v>293</v>
      </c>
      <c r="L159">
        <v>6222</v>
      </c>
      <c r="M159">
        <v>8</v>
      </c>
      <c r="N159">
        <v>0</v>
      </c>
    </row>
    <row r="160" spans="9:14" x14ac:dyDescent="0.3">
      <c r="I160" t="s">
        <v>124</v>
      </c>
      <c r="J160" s="22">
        <v>42887</v>
      </c>
      <c r="K160" t="s">
        <v>321</v>
      </c>
      <c r="L160">
        <v>6596</v>
      </c>
      <c r="M160">
        <v>67</v>
      </c>
      <c r="N160">
        <v>19</v>
      </c>
    </row>
    <row r="161" spans="9:14" x14ac:dyDescent="0.3">
      <c r="I161" t="s">
        <v>124</v>
      </c>
      <c r="J161" s="22">
        <v>42887</v>
      </c>
      <c r="K161" t="s">
        <v>253</v>
      </c>
      <c r="L161">
        <v>6108</v>
      </c>
      <c r="M161">
        <v>5041</v>
      </c>
      <c r="N161">
        <v>5037</v>
      </c>
    </row>
    <row r="162" spans="9:14" x14ac:dyDescent="0.3">
      <c r="I162" t="s">
        <v>124</v>
      </c>
      <c r="J162" s="22">
        <v>42887</v>
      </c>
      <c r="K162" t="s">
        <v>255</v>
      </c>
      <c r="L162">
        <v>6109</v>
      </c>
      <c r="M162">
        <v>860</v>
      </c>
      <c r="N162">
        <v>859</v>
      </c>
    </row>
    <row r="163" spans="9:14" x14ac:dyDescent="0.3">
      <c r="I163" t="s">
        <v>124</v>
      </c>
      <c r="J163" s="22">
        <v>42887</v>
      </c>
      <c r="K163" t="s">
        <v>272</v>
      </c>
      <c r="L163">
        <v>6116</v>
      </c>
      <c r="M163">
        <v>271</v>
      </c>
      <c r="N163">
        <v>0</v>
      </c>
    </row>
    <row r="164" spans="9:14" x14ac:dyDescent="0.3">
      <c r="I164" t="s">
        <v>124</v>
      </c>
      <c r="J164" s="22">
        <v>42887</v>
      </c>
      <c r="K164" t="s">
        <v>262</v>
      </c>
      <c r="L164">
        <v>6121</v>
      </c>
      <c r="M164">
        <v>19</v>
      </c>
      <c r="N164">
        <v>19</v>
      </c>
    </row>
    <row r="165" spans="9:14" x14ac:dyDescent="0.3">
      <c r="I165" t="s">
        <v>124</v>
      </c>
      <c r="J165" s="22">
        <v>42888</v>
      </c>
      <c r="K165" t="s">
        <v>272</v>
      </c>
      <c r="L165">
        <v>6116</v>
      </c>
      <c r="M165">
        <v>203</v>
      </c>
      <c r="N165">
        <v>0</v>
      </c>
    </row>
    <row r="166" spans="9:14" x14ac:dyDescent="0.3">
      <c r="I166" t="s">
        <v>124</v>
      </c>
      <c r="J166" s="22">
        <v>42888</v>
      </c>
      <c r="K166" t="s">
        <v>328</v>
      </c>
      <c r="L166">
        <v>6589</v>
      </c>
      <c r="M166">
        <v>51</v>
      </c>
      <c r="N166">
        <v>9</v>
      </c>
    </row>
    <row r="167" spans="9:14" x14ac:dyDescent="0.3">
      <c r="I167" t="s">
        <v>124</v>
      </c>
      <c r="J167" s="22">
        <v>42888</v>
      </c>
      <c r="K167" t="s">
        <v>273</v>
      </c>
      <c r="L167">
        <v>6123</v>
      </c>
      <c r="M167">
        <v>9</v>
      </c>
      <c r="N167">
        <v>8</v>
      </c>
    </row>
    <row r="168" spans="9:14" x14ac:dyDescent="0.3">
      <c r="I168" t="s">
        <v>124</v>
      </c>
      <c r="J168" s="22">
        <v>42888</v>
      </c>
      <c r="K168" t="s">
        <v>292</v>
      </c>
      <c r="L168">
        <v>6221</v>
      </c>
      <c r="M168">
        <v>51</v>
      </c>
      <c r="N168">
        <v>0</v>
      </c>
    </row>
    <row r="169" spans="9:14" x14ac:dyDescent="0.3">
      <c r="I169" t="s">
        <v>124</v>
      </c>
      <c r="J169" s="22">
        <v>42888</v>
      </c>
      <c r="K169" t="s">
        <v>277</v>
      </c>
      <c r="L169">
        <v>6127</v>
      </c>
      <c r="M169">
        <v>341</v>
      </c>
      <c r="N169">
        <v>2</v>
      </c>
    </row>
    <row r="170" spans="9:14" x14ac:dyDescent="0.3">
      <c r="I170" t="s">
        <v>124</v>
      </c>
      <c r="J170" s="22">
        <v>42886</v>
      </c>
      <c r="K170" t="s">
        <v>260</v>
      </c>
      <c r="L170">
        <v>6114</v>
      </c>
      <c r="M170">
        <v>25</v>
      </c>
      <c r="N170">
        <v>23</v>
      </c>
    </row>
    <row r="171" spans="9:14" x14ac:dyDescent="0.3">
      <c r="I171" t="s">
        <v>124</v>
      </c>
      <c r="J171" s="22">
        <v>42886</v>
      </c>
      <c r="K171" t="s">
        <v>330</v>
      </c>
      <c r="L171">
        <v>6594</v>
      </c>
      <c r="M171">
        <v>38</v>
      </c>
      <c r="N171">
        <v>7</v>
      </c>
    </row>
    <row r="172" spans="9:14" x14ac:dyDescent="0.3">
      <c r="I172" t="s">
        <v>124</v>
      </c>
      <c r="J172" s="22">
        <v>42886</v>
      </c>
      <c r="K172" t="s">
        <v>259</v>
      </c>
      <c r="L172">
        <v>6122</v>
      </c>
      <c r="M172">
        <v>45</v>
      </c>
      <c r="N172">
        <v>44</v>
      </c>
    </row>
    <row r="173" spans="9:14" x14ac:dyDescent="0.3">
      <c r="I173" t="s">
        <v>124</v>
      </c>
      <c r="J173" s="22">
        <v>42886</v>
      </c>
      <c r="K173" t="s">
        <v>271</v>
      </c>
      <c r="L173">
        <v>6111</v>
      </c>
      <c r="M173">
        <v>1</v>
      </c>
      <c r="N173">
        <v>0</v>
      </c>
    </row>
    <row r="174" spans="9:14" x14ac:dyDescent="0.3">
      <c r="I174" t="s">
        <v>124</v>
      </c>
      <c r="J174" s="22">
        <v>42886</v>
      </c>
      <c r="K174" t="s">
        <v>264</v>
      </c>
      <c r="L174">
        <v>6112</v>
      </c>
      <c r="M174">
        <v>6</v>
      </c>
      <c r="N174">
        <v>6</v>
      </c>
    </row>
    <row r="175" spans="9:14" x14ac:dyDescent="0.3">
      <c r="I175" t="s">
        <v>124</v>
      </c>
      <c r="J175" s="22">
        <v>42886</v>
      </c>
      <c r="K175" t="s">
        <v>320</v>
      </c>
      <c r="L175">
        <v>6598</v>
      </c>
      <c r="M175">
        <v>8</v>
      </c>
      <c r="N175">
        <v>4</v>
      </c>
    </row>
    <row r="176" spans="9:14" x14ac:dyDescent="0.3">
      <c r="I176" t="s">
        <v>124</v>
      </c>
      <c r="J176" s="22">
        <v>42886</v>
      </c>
      <c r="K176" t="s">
        <v>282</v>
      </c>
      <c r="L176">
        <v>6142</v>
      </c>
      <c r="M176">
        <v>1</v>
      </c>
      <c r="N176">
        <v>0</v>
      </c>
    </row>
    <row r="177" spans="9:14" x14ac:dyDescent="0.3">
      <c r="I177" t="s">
        <v>124</v>
      </c>
      <c r="J177" s="22">
        <v>42862</v>
      </c>
      <c r="K177" t="s">
        <v>268</v>
      </c>
      <c r="L177">
        <v>6106</v>
      </c>
      <c r="M177">
        <v>190</v>
      </c>
      <c r="N177">
        <v>0</v>
      </c>
    </row>
    <row r="178" spans="9:14" x14ac:dyDescent="0.3">
      <c r="I178" t="s">
        <v>124</v>
      </c>
      <c r="J178" s="22">
        <v>42862</v>
      </c>
      <c r="K178" t="s">
        <v>286</v>
      </c>
      <c r="L178">
        <v>6146</v>
      </c>
      <c r="M178">
        <v>1</v>
      </c>
      <c r="N178">
        <v>0</v>
      </c>
    </row>
    <row r="179" spans="9:14" x14ac:dyDescent="0.3">
      <c r="I179" t="s">
        <v>124</v>
      </c>
      <c r="J179" s="22">
        <v>42862</v>
      </c>
      <c r="K179" t="s">
        <v>292</v>
      </c>
      <c r="L179">
        <v>6221</v>
      </c>
      <c r="M179">
        <v>40</v>
      </c>
      <c r="N179">
        <v>0</v>
      </c>
    </row>
    <row r="180" spans="9:14" x14ac:dyDescent="0.3">
      <c r="I180" t="s">
        <v>124</v>
      </c>
      <c r="J180" s="22">
        <v>42862</v>
      </c>
      <c r="K180" t="s">
        <v>285</v>
      </c>
      <c r="L180">
        <v>6145</v>
      </c>
      <c r="M180">
        <v>1</v>
      </c>
      <c r="N180">
        <v>0</v>
      </c>
    </row>
    <row r="181" spans="9:14" x14ac:dyDescent="0.3">
      <c r="I181" t="s">
        <v>124</v>
      </c>
      <c r="J181" s="22">
        <v>42887</v>
      </c>
      <c r="K181" t="s">
        <v>323</v>
      </c>
      <c r="L181">
        <v>6588</v>
      </c>
      <c r="M181">
        <v>54</v>
      </c>
      <c r="N181">
        <v>12</v>
      </c>
    </row>
    <row r="182" spans="9:14" x14ac:dyDescent="0.3">
      <c r="I182" t="s">
        <v>124</v>
      </c>
      <c r="J182" s="22">
        <v>42887</v>
      </c>
      <c r="K182" t="s">
        <v>318</v>
      </c>
      <c r="L182">
        <v>6590</v>
      </c>
      <c r="M182">
        <v>4</v>
      </c>
      <c r="N182">
        <v>0</v>
      </c>
    </row>
    <row r="183" spans="9:14" x14ac:dyDescent="0.3">
      <c r="I183" t="s">
        <v>124</v>
      </c>
      <c r="J183" s="22">
        <v>42888</v>
      </c>
      <c r="K183" t="s">
        <v>270</v>
      </c>
      <c r="L183">
        <v>6110</v>
      </c>
      <c r="M183">
        <v>4</v>
      </c>
      <c r="N183">
        <v>4</v>
      </c>
    </row>
    <row r="184" spans="9:14" x14ac:dyDescent="0.3">
      <c r="I184" t="s">
        <v>124</v>
      </c>
      <c r="J184" s="22">
        <v>42861</v>
      </c>
      <c r="K184" t="s">
        <v>276</v>
      </c>
      <c r="L184">
        <v>6126</v>
      </c>
      <c r="M184">
        <v>2</v>
      </c>
      <c r="N184">
        <v>0</v>
      </c>
    </row>
    <row r="185" spans="9:14" x14ac:dyDescent="0.3">
      <c r="I185" t="s">
        <v>124</v>
      </c>
      <c r="J185" s="22">
        <v>42888</v>
      </c>
      <c r="K185" t="s">
        <v>278</v>
      </c>
      <c r="L185">
        <v>6132</v>
      </c>
      <c r="M185">
        <v>1</v>
      </c>
      <c r="N185">
        <v>0</v>
      </c>
    </row>
    <row r="186" spans="9:14" x14ac:dyDescent="0.3">
      <c r="I186" t="s">
        <v>124</v>
      </c>
      <c r="J186" s="22">
        <v>42889</v>
      </c>
      <c r="K186" t="s">
        <v>293</v>
      </c>
      <c r="L186">
        <v>6222</v>
      </c>
      <c r="M186">
        <v>1</v>
      </c>
      <c r="N186">
        <v>0</v>
      </c>
    </row>
    <row r="187" spans="9:14" x14ac:dyDescent="0.3">
      <c r="I187" t="s">
        <v>124</v>
      </c>
      <c r="J187" s="22">
        <v>42856</v>
      </c>
      <c r="K187" t="s">
        <v>268</v>
      </c>
      <c r="L187">
        <v>6106</v>
      </c>
      <c r="M187">
        <v>10375</v>
      </c>
      <c r="N187">
        <v>2531</v>
      </c>
    </row>
    <row r="188" spans="9:14" x14ac:dyDescent="0.3">
      <c r="I188" t="s">
        <v>124</v>
      </c>
      <c r="J188" s="22">
        <v>42856</v>
      </c>
      <c r="K188" t="s">
        <v>287</v>
      </c>
      <c r="L188">
        <v>6147</v>
      </c>
      <c r="M188">
        <v>5</v>
      </c>
      <c r="N188">
        <v>0</v>
      </c>
    </row>
    <row r="189" spans="9:14" x14ac:dyDescent="0.3">
      <c r="I189" t="s">
        <v>124</v>
      </c>
      <c r="J189" s="22">
        <v>42856</v>
      </c>
      <c r="K189" t="s">
        <v>269</v>
      </c>
      <c r="L189">
        <v>6107</v>
      </c>
      <c r="M189">
        <v>727</v>
      </c>
      <c r="N189">
        <v>157</v>
      </c>
    </row>
    <row r="190" spans="9:14" x14ac:dyDescent="0.3">
      <c r="I190" t="s">
        <v>124</v>
      </c>
      <c r="J190" s="22">
        <v>42856</v>
      </c>
      <c r="K190" t="s">
        <v>272</v>
      </c>
      <c r="L190">
        <v>6116</v>
      </c>
      <c r="M190">
        <v>279</v>
      </c>
      <c r="N190">
        <v>0</v>
      </c>
    </row>
    <row r="191" spans="9:14" x14ac:dyDescent="0.3">
      <c r="I191" t="s">
        <v>124</v>
      </c>
      <c r="J191" s="22">
        <v>42857</v>
      </c>
      <c r="K191" t="s">
        <v>273</v>
      </c>
      <c r="L191">
        <v>6123</v>
      </c>
      <c r="M191">
        <v>32</v>
      </c>
      <c r="N191">
        <v>32</v>
      </c>
    </row>
    <row r="192" spans="9:14" x14ac:dyDescent="0.3">
      <c r="I192" t="s">
        <v>124</v>
      </c>
      <c r="J192" s="22">
        <v>42858</v>
      </c>
      <c r="K192" t="s">
        <v>277</v>
      </c>
      <c r="L192">
        <v>6127</v>
      </c>
      <c r="M192">
        <v>412</v>
      </c>
      <c r="N192">
        <v>318</v>
      </c>
    </row>
    <row r="193" spans="9:14" x14ac:dyDescent="0.3">
      <c r="I193" t="s">
        <v>124</v>
      </c>
      <c r="J193" s="22">
        <v>42858</v>
      </c>
      <c r="K193" t="s">
        <v>273</v>
      </c>
      <c r="L193">
        <v>6123</v>
      </c>
      <c r="M193">
        <v>24</v>
      </c>
      <c r="N193">
        <v>24</v>
      </c>
    </row>
    <row r="194" spans="9:14" x14ac:dyDescent="0.3">
      <c r="I194" t="s">
        <v>124</v>
      </c>
      <c r="J194" s="22">
        <v>42877</v>
      </c>
      <c r="K194" t="s">
        <v>284</v>
      </c>
      <c r="L194">
        <v>6144</v>
      </c>
      <c r="M194">
        <v>6</v>
      </c>
      <c r="N194">
        <v>0</v>
      </c>
    </row>
    <row r="195" spans="9:14" x14ac:dyDescent="0.3">
      <c r="I195" t="s">
        <v>124</v>
      </c>
      <c r="J195" s="22">
        <v>42858</v>
      </c>
      <c r="K195" t="s">
        <v>290</v>
      </c>
      <c r="L195">
        <v>6150</v>
      </c>
      <c r="M195">
        <v>3</v>
      </c>
      <c r="N195">
        <v>0</v>
      </c>
    </row>
    <row r="196" spans="9:14" x14ac:dyDescent="0.3">
      <c r="I196" t="s">
        <v>124</v>
      </c>
      <c r="J196" s="22">
        <v>42877</v>
      </c>
      <c r="K196" t="s">
        <v>318</v>
      </c>
      <c r="L196">
        <v>6590</v>
      </c>
      <c r="M196">
        <v>43</v>
      </c>
      <c r="N196">
        <v>18</v>
      </c>
    </row>
    <row r="197" spans="9:14" x14ac:dyDescent="0.3">
      <c r="I197" t="s">
        <v>124</v>
      </c>
      <c r="J197" s="22">
        <v>42859</v>
      </c>
      <c r="K197" t="s">
        <v>289</v>
      </c>
      <c r="L197">
        <v>6149</v>
      </c>
      <c r="M197">
        <v>1</v>
      </c>
      <c r="N197">
        <v>0</v>
      </c>
    </row>
    <row r="198" spans="9:14" x14ac:dyDescent="0.3">
      <c r="I198" t="s">
        <v>124</v>
      </c>
      <c r="J198" s="22">
        <v>42877</v>
      </c>
      <c r="K198" t="s">
        <v>325</v>
      </c>
      <c r="L198">
        <v>6595</v>
      </c>
      <c r="M198">
        <v>38</v>
      </c>
      <c r="N198">
        <v>8</v>
      </c>
    </row>
    <row r="199" spans="9:14" x14ac:dyDescent="0.3">
      <c r="I199" t="s">
        <v>124</v>
      </c>
      <c r="J199" s="22">
        <v>42877</v>
      </c>
      <c r="K199" t="s">
        <v>254</v>
      </c>
      <c r="L199">
        <v>6133</v>
      </c>
      <c r="M199">
        <v>1</v>
      </c>
      <c r="N199">
        <v>1</v>
      </c>
    </row>
    <row r="200" spans="9:14" x14ac:dyDescent="0.3">
      <c r="I200" t="s">
        <v>124</v>
      </c>
      <c r="J200" s="22">
        <v>42877</v>
      </c>
      <c r="K200" t="s">
        <v>285</v>
      </c>
      <c r="L200">
        <v>6145</v>
      </c>
      <c r="M200">
        <v>1</v>
      </c>
      <c r="N200">
        <v>0</v>
      </c>
    </row>
    <row r="201" spans="9:14" x14ac:dyDescent="0.3">
      <c r="I201" t="s">
        <v>124</v>
      </c>
      <c r="J201" s="22">
        <v>42878</v>
      </c>
      <c r="K201" t="s">
        <v>322</v>
      </c>
      <c r="L201">
        <v>6586</v>
      </c>
      <c r="M201">
        <v>6421</v>
      </c>
      <c r="N201">
        <v>1790</v>
      </c>
    </row>
    <row r="202" spans="9:14" x14ac:dyDescent="0.3">
      <c r="I202" t="s">
        <v>124</v>
      </c>
      <c r="J202" s="22">
        <v>42878</v>
      </c>
      <c r="K202" t="s">
        <v>269</v>
      </c>
      <c r="L202">
        <v>6107</v>
      </c>
      <c r="M202">
        <v>495</v>
      </c>
      <c r="N202">
        <v>0</v>
      </c>
    </row>
    <row r="203" spans="9:14" x14ac:dyDescent="0.3">
      <c r="I203" t="s">
        <v>124</v>
      </c>
      <c r="J203" s="22">
        <v>42878</v>
      </c>
      <c r="K203" t="s">
        <v>328</v>
      </c>
      <c r="L203">
        <v>6589</v>
      </c>
      <c r="M203">
        <v>57</v>
      </c>
      <c r="N203">
        <v>14</v>
      </c>
    </row>
    <row r="204" spans="9:14" x14ac:dyDescent="0.3">
      <c r="I204" t="s">
        <v>124</v>
      </c>
      <c r="J204" s="22">
        <v>42859</v>
      </c>
      <c r="K204" t="s">
        <v>274</v>
      </c>
      <c r="L204">
        <v>6124</v>
      </c>
      <c r="M204">
        <v>9</v>
      </c>
      <c r="N204">
        <v>9</v>
      </c>
    </row>
    <row r="205" spans="9:14" x14ac:dyDescent="0.3">
      <c r="I205" t="s">
        <v>124</v>
      </c>
      <c r="J205" s="22">
        <v>42859</v>
      </c>
      <c r="K205" t="s">
        <v>257</v>
      </c>
      <c r="L205">
        <v>6115</v>
      </c>
      <c r="M205">
        <v>49</v>
      </c>
      <c r="N205">
        <v>49</v>
      </c>
    </row>
    <row r="206" spans="9:14" x14ac:dyDescent="0.3">
      <c r="I206" t="s">
        <v>124</v>
      </c>
      <c r="J206" s="22">
        <v>42859</v>
      </c>
      <c r="K206" t="s">
        <v>285</v>
      </c>
      <c r="L206">
        <v>6145</v>
      </c>
      <c r="M206">
        <v>2</v>
      </c>
      <c r="N206">
        <v>0</v>
      </c>
    </row>
    <row r="207" spans="9:14" x14ac:dyDescent="0.3">
      <c r="I207" t="s">
        <v>124</v>
      </c>
      <c r="J207" s="22">
        <v>42860</v>
      </c>
      <c r="K207" t="s">
        <v>268</v>
      </c>
      <c r="L207">
        <v>6106</v>
      </c>
      <c r="M207">
        <v>6214</v>
      </c>
      <c r="N207">
        <v>1390</v>
      </c>
    </row>
    <row r="208" spans="9:14" x14ac:dyDescent="0.3">
      <c r="I208" t="s">
        <v>124</v>
      </c>
      <c r="J208" s="22">
        <v>42860</v>
      </c>
      <c r="K208" t="s">
        <v>257</v>
      </c>
      <c r="L208">
        <v>6115</v>
      </c>
      <c r="M208">
        <v>41</v>
      </c>
      <c r="N208">
        <v>37</v>
      </c>
    </row>
    <row r="209" spans="9:14" x14ac:dyDescent="0.3">
      <c r="I209" t="s">
        <v>124</v>
      </c>
      <c r="J209" s="22">
        <v>42860</v>
      </c>
      <c r="K209" t="s">
        <v>284</v>
      </c>
      <c r="L209">
        <v>6144</v>
      </c>
      <c r="M209">
        <v>3</v>
      </c>
      <c r="N209">
        <v>0</v>
      </c>
    </row>
    <row r="210" spans="9:14" x14ac:dyDescent="0.3">
      <c r="I210" t="s">
        <v>124</v>
      </c>
      <c r="J210" s="22">
        <v>42860</v>
      </c>
      <c r="K210" t="s">
        <v>288</v>
      </c>
      <c r="L210">
        <v>6148</v>
      </c>
      <c r="M210">
        <v>2</v>
      </c>
      <c r="N210">
        <v>0</v>
      </c>
    </row>
    <row r="211" spans="9:14" x14ac:dyDescent="0.3">
      <c r="I211" t="s">
        <v>124</v>
      </c>
      <c r="J211" s="22">
        <v>42861</v>
      </c>
      <c r="K211" t="s">
        <v>292</v>
      </c>
      <c r="L211">
        <v>6221</v>
      </c>
      <c r="M211">
        <v>66</v>
      </c>
      <c r="N211">
        <v>0</v>
      </c>
    </row>
    <row r="212" spans="9:14" x14ac:dyDescent="0.3">
      <c r="I212" t="s">
        <v>124</v>
      </c>
      <c r="J212" s="22">
        <v>42878</v>
      </c>
      <c r="K212" t="s">
        <v>331</v>
      </c>
      <c r="L212">
        <v>6597</v>
      </c>
      <c r="M212">
        <v>86</v>
      </c>
      <c r="N212">
        <v>15</v>
      </c>
    </row>
    <row r="213" spans="9:14" x14ac:dyDescent="0.3">
      <c r="I213" t="s">
        <v>124</v>
      </c>
      <c r="J213" s="22">
        <v>42878</v>
      </c>
      <c r="K213" t="s">
        <v>253</v>
      </c>
      <c r="L213">
        <v>6108</v>
      </c>
      <c r="M213">
        <v>4491</v>
      </c>
      <c r="N213">
        <v>4490</v>
      </c>
    </row>
    <row r="214" spans="9:14" x14ac:dyDescent="0.3">
      <c r="I214" t="s">
        <v>124</v>
      </c>
      <c r="J214" s="22">
        <v>42878</v>
      </c>
      <c r="K214" t="s">
        <v>265</v>
      </c>
      <c r="L214">
        <v>6118</v>
      </c>
      <c r="M214">
        <v>56</v>
      </c>
      <c r="N214">
        <v>50</v>
      </c>
    </row>
    <row r="215" spans="9:14" x14ac:dyDescent="0.3">
      <c r="I215" t="s">
        <v>124</v>
      </c>
      <c r="J215" s="22">
        <v>42876</v>
      </c>
      <c r="K215" t="s">
        <v>325</v>
      </c>
      <c r="L215">
        <v>6595</v>
      </c>
      <c r="M215">
        <v>1</v>
      </c>
      <c r="N215">
        <v>0</v>
      </c>
    </row>
    <row r="216" spans="9:14" x14ac:dyDescent="0.3">
      <c r="I216" t="s">
        <v>124</v>
      </c>
      <c r="J216" s="22">
        <v>42876</v>
      </c>
      <c r="K216" t="s">
        <v>320</v>
      </c>
      <c r="L216">
        <v>6598</v>
      </c>
      <c r="M216">
        <v>1</v>
      </c>
      <c r="N216">
        <v>0</v>
      </c>
    </row>
    <row r="217" spans="9:14" x14ac:dyDescent="0.3">
      <c r="I217" t="s">
        <v>124</v>
      </c>
      <c r="J217" s="22">
        <v>42860</v>
      </c>
      <c r="K217" t="s">
        <v>289</v>
      </c>
      <c r="L217">
        <v>6149</v>
      </c>
      <c r="M217">
        <v>2</v>
      </c>
      <c r="N217">
        <v>0</v>
      </c>
    </row>
    <row r="218" spans="9:14" x14ac:dyDescent="0.3">
      <c r="I218" t="s">
        <v>124</v>
      </c>
      <c r="J218" s="22">
        <v>42860</v>
      </c>
      <c r="K218" t="s">
        <v>278</v>
      </c>
      <c r="L218">
        <v>6132</v>
      </c>
      <c r="M218">
        <v>1</v>
      </c>
      <c r="N218">
        <v>0</v>
      </c>
    </row>
    <row r="219" spans="9:14" x14ac:dyDescent="0.3">
      <c r="I219" t="s">
        <v>124</v>
      </c>
      <c r="J219" s="22">
        <v>42878</v>
      </c>
      <c r="K219" t="s">
        <v>323</v>
      </c>
      <c r="L219">
        <v>6588</v>
      </c>
      <c r="M219">
        <v>38</v>
      </c>
      <c r="N219">
        <v>7</v>
      </c>
    </row>
    <row r="220" spans="9:14" x14ac:dyDescent="0.3">
      <c r="I220" t="s">
        <v>124</v>
      </c>
      <c r="J220" s="22">
        <v>42878</v>
      </c>
      <c r="K220" t="s">
        <v>261</v>
      </c>
      <c r="L220">
        <v>6117</v>
      </c>
      <c r="M220">
        <v>16</v>
      </c>
      <c r="N220">
        <v>16</v>
      </c>
    </row>
    <row r="221" spans="9:14" x14ac:dyDescent="0.3">
      <c r="I221" t="s">
        <v>124</v>
      </c>
      <c r="J221" s="22">
        <v>42878</v>
      </c>
      <c r="K221" t="s">
        <v>320</v>
      </c>
      <c r="L221">
        <v>6598</v>
      </c>
      <c r="M221">
        <v>8</v>
      </c>
      <c r="N221">
        <v>3</v>
      </c>
    </row>
    <row r="222" spans="9:14" x14ac:dyDescent="0.3">
      <c r="I222" t="s">
        <v>124</v>
      </c>
      <c r="J222" s="22">
        <v>42878</v>
      </c>
      <c r="K222" t="s">
        <v>271</v>
      </c>
      <c r="L222">
        <v>6111</v>
      </c>
      <c r="M222">
        <v>1</v>
      </c>
      <c r="N222">
        <v>0</v>
      </c>
    </row>
    <row r="223" spans="9:14" x14ac:dyDescent="0.3">
      <c r="I223" t="s">
        <v>124</v>
      </c>
      <c r="J223" s="22">
        <v>42863</v>
      </c>
      <c r="K223" t="s">
        <v>277</v>
      </c>
      <c r="L223">
        <v>6127</v>
      </c>
      <c r="M223">
        <v>494</v>
      </c>
      <c r="N223">
        <v>397</v>
      </c>
    </row>
    <row r="224" spans="9:14" x14ac:dyDescent="0.3">
      <c r="I224" t="s">
        <v>124</v>
      </c>
      <c r="J224" s="22">
        <v>42863</v>
      </c>
      <c r="K224" t="s">
        <v>292</v>
      </c>
      <c r="L224">
        <v>6221</v>
      </c>
      <c r="M224">
        <v>69</v>
      </c>
      <c r="N224">
        <v>0</v>
      </c>
    </row>
    <row r="225" spans="9:14" x14ac:dyDescent="0.3">
      <c r="I225" t="s">
        <v>124</v>
      </c>
      <c r="J225" s="22">
        <v>42878</v>
      </c>
      <c r="K225" t="s">
        <v>290</v>
      </c>
      <c r="L225">
        <v>6150</v>
      </c>
      <c r="M225">
        <v>1</v>
      </c>
      <c r="N225">
        <v>0</v>
      </c>
    </row>
    <row r="226" spans="9:14" x14ac:dyDescent="0.3">
      <c r="I226" t="s">
        <v>124</v>
      </c>
      <c r="J226" s="22">
        <v>42879</v>
      </c>
      <c r="K226" t="s">
        <v>292</v>
      </c>
      <c r="L226">
        <v>6221</v>
      </c>
      <c r="M226">
        <v>2</v>
      </c>
      <c r="N226">
        <v>0</v>
      </c>
    </row>
    <row r="227" spans="9:14" x14ac:dyDescent="0.3">
      <c r="I227" t="s">
        <v>124</v>
      </c>
      <c r="J227" s="22">
        <v>42878</v>
      </c>
      <c r="K227" t="s">
        <v>286</v>
      </c>
      <c r="L227">
        <v>6146</v>
      </c>
      <c r="M227">
        <v>2</v>
      </c>
      <c r="N227">
        <v>0</v>
      </c>
    </row>
    <row r="228" spans="9:14" x14ac:dyDescent="0.3">
      <c r="I228" t="s">
        <v>124</v>
      </c>
      <c r="J228" s="22">
        <v>42878</v>
      </c>
      <c r="K228" t="s">
        <v>294</v>
      </c>
      <c r="L228">
        <v>6223</v>
      </c>
      <c r="M228">
        <v>1</v>
      </c>
      <c r="N228">
        <v>0</v>
      </c>
    </row>
    <row r="229" spans="9:14" x14ac:dyDescent="0.3">
      <c r="I229" t="s">
        <v>124</v>
      </c>
      <c r="J229" s="22">
        <v>42863</v>
      </c>
      <c r="K229" t="s">
        <v>254</v>
      </c>
      <c r="L229">
        <v>6133</v>
      </c>
      <c r="M229">
        <v>3</v>
      </c>
      <c r="N229">
        <v>3</v>
      </c>
    </row>
    <row r="230" spans="9:14" x14ac:dyDescent="0.3">
      <c r="I230" t="s">
        <v>124</v>
      </c>
      <c r="J230" s="22">
        <v>42863</v>
      </c>
      <c r="K230" t="s">
        <v>289</v>
      </c>
      <c r="L230">
        <v>6149</v>
      </c>
      <c r="M230">
        <v>2</v>
      </c>
      <c r="N230">
        <v>0</v>
      </c>
    </row>
    <row r="231" spans="9:14" x14ac:dyDescent="0.3">
      <c r="I231" t="s">
        <v>124</v>
      </c>
      <c r="J231" s="22">
        <v>42864</v>
      </c>
      <c r="K231" t="s">
        <v>258</v>
      </c>
      <c r="L231">
        <v>6119</v>
      </c>
      <c r="M231">
        <v>71</v>
      </c>
      <c r="N231">
        <v>69</v>
      </c>
    </row>
    <row r="232" spans="9:14" x14ac:dyDescent="0.3">
      <c r="I232" t="s">
        <v>124</v>
      </c>
      <c r="J232" s="22">
        <v>42864</v>
      </c>
      <c r="K232" t="s">
        <v>259</v>
      </c>
      <c r="L232">
        <v>6122</v>
      </c>
      <c r="M232">
        <v>36</v>
      </c>
      <c r="N232">
        <v>35</v>
      </c>
    </row>
    <row r="233" spans="9:14" x14ac:dyDescent="0.3">
      <c r="I233" t="s">
        <v>124</v>
      </c>
      <c r="J233" s="22">
        <v>42864</v>
      </c>
      <c r="K233" t="s">
        <v>274</v>
      </c>
      <c r="L233">
        <v>6124</v>
      </c>
      <c r="M233">
        <v>5</v>
      </c>
      <c r="N233">
        <v>5</v>
      </c>
    </row>
    <row r="234" spans="9:14" x14ac:dyDescent="0.3">
      <c r="I234" t="s">
        <v>124</v>
      </c>
      <c r="J234" s="22">
        <v>42864</v>
      </c>
      <c r="K234" t="s">
        <v>270</v>
      </c>
      <c r="L234">
        <v>6110</v>
      </c>
      <c r="M234">
        <v>4</v>
      </c>
      <c r="N234">
        <v>4</v>
      </c>
    </row>
    <row r="235" spans="9:14" x14ac:dyDescent="0.3">
      <c r="I235" t="s">
        <v>124</v>
      </c>
      <c r="J235" s="22">
        <v>42865</v>
      </c>
      <c r="K235" t="s">
        <v>284</v>
      </c>
      <c r="L235">
        <v>6144</v>
      </c>
      <c r="M235">
        <v>4</v>
      </c>
      <c r="N235">
        <v>0</v>
      </c>
    </row>
    <row r="236" spans="9:14" x14ac:dyDescent="0.3">
      <c r="I236" t="s">
        <v>124</v>
      </c>
      <c r="J236" s="22">
        <v>42865</v>
      </c>
      <c r="K236" t="s">
        <v>265</v>
      </c>
      <c r="L236">
        <v>6118</v>
      </c>
      <c r="M236">
        <v>79</v>
      </c>
      <c r="N236">
        <v>15</v>
      </c>
    </row>
    <row r="237" spans="9:14" x14ac:dyDescent="0.3">
      <c r="I237" t="s">
        <v>124</v>
      </c>
      <c r="J237" s="22">
        <v>42865</v>
      </c>
      <c r="K237" t="s">
        <v>261</v>
      </c>
      <c r="L237">
        <v>6117</v>
      </c>
      <c r="M237">
        <v>18</v>
      </c>
      <c r="N237">
        <v>18</v>
      </c>
    </row>
    <row r="238" spans="9:14" x14ac:dyDescent="0.3">
      <c r="I238" t="s">
        <v>124</v>
      </c>
      <c r="J238" s="22">
        <v>42865</v>
      </c>
      <c r="K238" t="s">
        <v>271</v>
      </c>
      <c r="L238">
        <v>6111</v>
      </c>
      <c r="M238">
        <v>1</v>
      </c>
      <c r="N238">
        <v>0</v>
      </c>
    </row>
    <row r="239" spans="9:14" x14ac:dyDescent="0.3">
      <c r="I239" t="s">
        <v>124</v>
      </c>
      <c r="J239" s="22">
        <v>42865</v>
      </c>
      <c r="K239" t="s">
        <v>283</v>
      </c>
      <c r="L239">
        <v>6143</v>
      </c>
      <c r="M239">
        <v>2</v>
      </c>
      <c r="N239">
        <v>0</v>
      </c>
    </row>
    <row r="240" spans="9:14" x14ac:dyDescent="0.3">
      <c r="I240" t="s">
        <v>124</v>
      </c>
      <c r="J240" s="22">
        <v>42866</v>
      </c>
      <c r="K240" t="s">
        <v>279</v>
      </c>
      <c r="L240">
        <v>6139</v>
      </c>
      <c r="M240">
        <v>1</v>
      </c>
      <c r="N240">
        <v>0</v>
      </c>
    </row>
    <row r="241" spans="9:14" x14ac:dyDescent="0.3">
      <c r="I241" t="s">
        <v>124</v>
      </c>
      <c r="J241" s="22">
        <v>42866</v>
      </c>
      <c r="K241" t="s">
        <v>260</v>
      </c>
      <c r="L241">
        <v>6114</v>
      </c>
      <c r="M241">
        <v>56</v>
      </c>
      <c r="N241">
        <v>32</v>
      </c>
    </row>
    <row r="242" spans="9:14" x14ac:dyDescent="0.3">
      <c r="I242" t="s">
        <v>124</v>
      </c>
      <c r="J242" s="22">
        <v>42866</v>
      </c>
      <c r="K242" t="s">
        <v>272</v>
      </c>
      <c r="L242">
        <v>6116</v>
      </c>
      <c r="M242">
        <v>243</v>
      </c>
      <c r="N242">
        <v>0</v>
      </c>
    </row>
    <row r="243" spans="9:14" x14ac:dyDescent="0.3">
      <c r="I243" t="s">
        <v>124</v>
      </c>
      <c r="J243" s="22">
        <v>42867</v>
      </c>
      <c r="K243" t="s">
        <v>277</v>
      </c>
      <c r="L243">
        <v>6127</v>
      </c>
      <c r="M243">
        <v>292</v>
      </c>
      <c r="N243">
        <v>228</v>
      </c>
    </row>
    <row r="244" spans="9:14" x14ac:dyDescent="0.3">
      <c r="I244" t="s">
        <v>124</v>
      </c>
      <c r="J244" s="22">
        <v>42867</v>
      </c>
      <c r="K244" t="s">
        <v>278</v>
      </c>
      <c r="L244">
        <v>6132</v>
      </c>
      <c r="M244">
        <v>26</v>
      </c>
      <c r="N244">
        <v>0</v>
      </c>
    </row>
    <row r="245" spans="9:14" x14ac:dyDescent="0.3">
      <c r="I245" t="s">
        <v>124</v>
      </c>
      <c r="J245" s="22">
        <v>42867</v>
      </c>
      <c r="K245" t="s">
        <v>292</v>
      </c>
      <c r="L245">
        <v>6221</v>
      </c>
      <c r="M245">
        <v>104</v>
      </c>
      <c r="N245">
        <v>0</v>
      </c>
    </row>
    <row r="246" spans="9:14" x14ac:dyDescent="0.3">
      <c r="I246" t="s">
        <v>124</v>
      </c>
      <c r="J246" s="22">
        <v>42866</v>
      </c>
      <c r="K246" t="s">
        <v>282</v>
      </c>
      <c r="L246">
        <v>6142</v>
      </c>
      <c r="M246">
        <v>1</v>
      </c>
      <c r="N246">
        <v>0</v>
      </c>
    </row>
    <row r="247" spans="9:14" x14ac:dyDescent="0.3">
      <c r="I247" t="s">
        <v>124</v>
      </c>
      <c r="J247" s="22">
        <v>42867</v>
      </c>
      <c r="K247" t="s">
        <v>253</v>
      </c>
      <c r="L247">
        <v>6108</v>
      </c>
      <c r="M247">
        <v>3796</v>
      </c>
      <c r="N247">
        <v>3661</v>
      </c>
    </row>
    <row r="248" spans="9:14" x14ac:dyDescent="0.3">
      <c r="I248" t="s">
        <v>124</v>
      </c>
      <c r="J248" s="22">
        <v>42867</v>
      </c>
      <c r="K248" t="s">
        <v>256</v>
      </c>
      <c r="L248">
        <v>6113</v>
      </c>
      <c r="M248">
        <v>84</v>
      </c>
      <c r="N248">
        <v>72</v>
      </c>
    </row>
    <row r="249" spans="9:14" x14ac:dyDescent="0.3">
      <c r="I249" t="s">
        <v>124</v>
      </c>
      <c r="J249" s="22">
        <v>42867</v>
      </c>
      <c r="K249" t="s">
        <v>260</v>
      </c>
      <c r="L249">
        <v>6114</v>
      </c>
      <c r="M249">
        <v>22</v>
      </c>
      <c r="N249">
        <v>15</v>
      </c>
    </row>
    <row r="250" spans="9:14" x14ac:dyDescent="0.3">
      <c r="I250" t="s">
        <v>124</v>
      </c>
      <c r="J250" s="22">
        <v>42867</v>
      </c>
      <c r="K250" t="s">
        <v>262</v>
      </c>
      <c r="L250">
        <v>6121</v>
      </c>
      <c r="M250">
        <v>23</v>
      </c>
      <c r="N250">
        <v>19</v>
      </c>
    </row>
    <row r="251" spans="9:14" x14ac:dyDescent="0.3">
      <c r="I251" t="s">
        <v>124</v>
      </c>
      <c r="J251" s="22">
        <v>42885</v>
      </c>
      <c r="K251" t="s">
        <v>268</v>
      </c>
      <c r="L251">
        <v>6106</v>
      </c>
      <c r="M251">
        <v>9602</v>
      </c>
      <c r="N251">
        <v>0</v>
      </c>
    </row>
    <row r="252" spans="9:14" x14ac:dyDescent="0.3">
      <c r="I252" t="s">
        <v>124</v>
      </c>
      <c r="J252" s="22">
        <v>42885</v>
      </c>
      <c r="K252" t="s">
        <v>277</v>
      </c>
      <c r="L252">
        <v>6127</v>
      </c>
      <c r="M252">
        <v>497</v>
      </c>
      <c r="N252">
        <v>7</v>
      </c>
    </row>
    <row r="253" spans="9:14" x14ac:dyDescent="0.3">
      <c r="I253" t="s">
        <v>124</v>
      </c>
      <c r="J253" s="22">
        <v>42885</v>
      </c>
      <c r="K253" t="s">
        <v>265</v>
      </c>
      <c r="L253">
        <v>6118</v>
      </c>
      <c r="M253">
        <v>74</v>
      </c>
      <c r="N253">
        <v>61</v>
      </c>
    </row>
    <row r="254" spans="9:14" x14ac:dyDescent="0.3">
      <c r="I254" t="s">
        <v>124</v>
      </c>
      <c r="J254" s="22">
        <v>42885</v>
      </c>
      <c r="K254" t="s">
        <v>271</v>
      </c>
      <c r="L254">
        <v>6111</v>
      </c>
      <c r="M254">
        <v>1</v>
      </c>
      <c r="N254">
        <v>0</v>
      </c>
    </row>
    <row r="255" spans="9:14" x14ac:dyDescent="0.3">
      <c r="I255" t="s">
        <v>124</v>
      </c>
      <c r="J255" s="22">
        <v>42885</v>
      </c>
      <c r="K255" t="s">
        <v>254</v>
      </c>
      <c r="L255">
        <v>6133</v>
      </c>
      <c r="M255">
        <v>6</v>
      </c>
      <c r="N255">
        <v>6</v>
      </c>
    </row>
    <row r="256" spans="9:14" x14ac:dyDescent="0.3">
      <c r="I256" t="s">
        <v>124</v>
      </c>
      <c r="J256" s="22">
        <v>42881</v>
      </c>
      <c r="K256" t="s">
        <v>269</v>
      </c>
      <c r="L256">
        <v>6107</v>
      </c>
      <c r="M256">
        <v>439</v>
      </c>
      <c r="N256">
        <v>0</v>
      </c>
    </row>
    <row r="257" spans="9:14" x14ac:dyDescent="0.3">
      <c r="I257" t="s">
        <v>124</v>
      </c>
      <c r="J257" s="22">
        <v>42886</v>
      </c>
      <c r="K257" t="s">
        <v>331</v>
      </c>
      <c r="L257">
        <v>6597</v>
      </c>
      <c r="M257">
        <v>97</v>
      </c>
      <c r="N257">
        <v>27</v>
      </c>
    </row>
    <row r="258" spans="9:14" x14ac:dyDescent="0.3">
      <c r="I258" t="s">
        <v>124</v>
      </c>
      <c r="J258" s="22">
        <v>42881</v>
      </c>
      <c r="K258" t="s">
        <v>274</v>
      </c>
      <c r="L258">
        <v>6124</v>
      </c>
      <c r="M258">
        <v>8</v>
      </c>
      <c r="N258">
        <v>8</v>
      </c>
    </row>
    <row r="259" spans="9:14" x14ac:dyDescent="0.3">
      <c r="I259" t="s">
        <v>124</v>
      </c>
      <c r="J259" s="22">
        <v>42887</v>
      </c>
      <c r="K259" t="s">
        <v>329</v>
      </c>
      <c r="L259">
        <v>6587</v>
      </c>
      <c r="M259">
        <v>999</v>
      </c>
      <c r="N259">
        <v>301</v>
      </c>
    </row>
    <row r="260" spans="9:14" x14ac:dyDescent="0.3">
      <c r="I260" t="s">
        <v>124</v>
      </c>
      <c r="J260" s="22">
        <v>42887</v>
      </c>
      <c r="K260" t="s">
        <v>265</v>
      </c>
      <c r="L260">
        <v>6118</v>
      </c>
      <c r="M260">
        <v>44</v>
      </c>
      <c r="N260">
        <v>43</v>
      </c>
    </row>
    <row r="261" spans="9:14" x14ac:dyDescent="0.3">
      <c r="I261" t="s">
        <v>124</v>
      </c>
      <c r="J261" s="22">
        <v>42888</v>
      </c>
      <c r="K261" t="s">
        <v>269</v>
      </c>
      <c r="L261">
        <v>6107</v>
      </c>
      <c r="M261">
        <v>466</v>
      </c>
      <c r="N261">
        <v>0</v>
      </c>
    </row>
    <row r="262" spans="9:14" x14ac:dyDescent="0.3">
      <c r="I262" t="s">
        <v>124</v>
      </c>
      <c r="J262" s="22">
        <v>42888</v>
      </c>
      <c r="K262" t="s">
        <v>262</v>
      </c>
      <c r="L262">
        <v>6121</v>
      </c>
      <c r="M262">
        <v>27</v>
      </c>
      <c r="N262">
        <v>23</v>
      </c>
    </row>
    <row r="263" spans="9:14" x14ac:dyDescent="0.3">
      <c r="I263" t="s">
        <v>124</v>
      </c>
      <c r="J263" s="22">
        <v>42888</v>
      </c>
      <c r="K263" t="s">
        <v>322</v>
      </c>
      <c r="L263">
        <v>6586</v>
      </c>
      <c r="M263">
        <v>5574</v>
      </c>
      <c r="N263">
        <v>1548</v>
      </c>
    </row>
    <row r="264" spans="9:14" x14ac:dyDescent="0.3">
      <c r="I264" t="s">
        <v>124</v>
      </c>
      <c r="J264" s="22">
        <v>42888</v>
      </c>
      <c r="K264" t="s">
        <v>286</v>
      </c>
      <c r="L264">
        <v>6146</v>
      </c>
      <c r="M264">
        <v>4</v>
      </c>
      <c r="N264">
        <v>0</v>
      </c>
    </row>
    <row r="265" spans="9:14" x14ac:dyDescent="0.3">
      <c r="I265" t="s">
        <v>124</v>
      </c>
      <c r="J265" s="22">
        <v>42886</v>
      </c>
      <c r="K265" t="s">
        <v>323</v>
      </c>
      <c r="L265">
        <v>6588</v>
      </c>
      <c r="M265">
        <v>64</v>
      </c>
      <c r="N265">
        <v>23</v>
      </c>
    </row>
    <row r="266" spans="9:14" x14ac:dyDescent="0.3">
      <c r="I266" t="s">
        <v>124</v>
      </c>
      <c r="J266" s="22">
        <v>42886</v>
      </c>
      <c r="K266" t="s">
        <v>328</v>
      </c>
      <c r="L266">
        <v>6589</v>
      </c>
      <c r="M266">
        <v>28</v>
      </c>
      <c r="N266">
        <v>5</v>
      </c>
    </row>
    <row r="267" spans="9:14" x14ac:dyDescent="0.3">
      <c r="I267" t="s">
        <v>124</v>
      </c>
      <c r="J267" s="22">
        <v>42886</v>
      </c>
      <c r="K267" t="s">
        <v>253</v>
      </c>
      <c r="L267">
        <v>6108</v>
      </c>
      <c r="M267">
        <v>5353</v>
      </c>
      <c r="N267">
        <v>5340</v>
      </c>
    </row>
    <row r="268" spans="9:14" x14ac:dyDescent="0.3">
      <c r="I268" t="s">
        <v>124</v>
      </c>
      <c r="J268" s="22">
        <v>42862</v>
      </c>
      <c r="K268" t="s">
        <v>282</v>
      </c>
      <c r="L268">
        <v>6142</v>
      </c>
      <c r="M268">
        <v>3</v>
      </c>
      <c r="N268">
        <v>0</v>
      </c>
    </row>
    <row r="269" spans="9:14" x14ac:dyDescent="0.3">
      <c r="I269" t="s">
        <v>124</v>
      </c>
      <c r="J269" s="22">
        <v>42887</v>
      </c>
      <c r="K269" t="s">
        <v>276</v>
      </c>
      <c r="L269">
        <v>6126</v>
      </c>
      <c r="M269">
        <v>3</v>
      </c>
      <c r="N269">
        <v>0</v>
      </c>
    </row>
    <row r="270" spans="9:14" x14ac:dyDescent="0.3">
      <c r="I270" t="s">
        <v>124</v>
      </c>
      <c r="J270" s="22">
        <v>42887</v>
      </c>
      <c r="K270" t="s">
        <v>283</v>
      </c>
      <c r="L270">
        <v>6143</v>
      </c>
      <c r="M270">
        <v>1</v>
      </c>
      <c r="N270">
        <v>0</v>
      </c>
    </row>
    <row r="271" spans="9:14" x14ac:dyDescent="0.3">
      <c r="I271" t="s">
        <v>124</v>
      </c>
      <c r="J271" s="22">
        <v>42887</v>
      </c>
      <c r="K271" t="s">
        <v>324</v>
      </c>
      <c r="L271">
        <v>6591</v>
      </c>
      <c r="M271">
        <v>1</v>
      </c>
      <c r="N271">
        <v>0</v>
      </c>
    </row>
    <row r="272" spans="9:14" x14ac:dyDescent="0.3">
      <c r="I272" t="s">
        <v>124</v>
      </c>
      <c r="J272" s="22">
        <v>42887</v>
      </c>
      <c r="K272" t="s">
        <v>264</v>
      </c>
      <c r="L272">
        <v>6112</v>
      </c>
      <c r="M272">
        <v>1</v>
      </c>
      <c r="N272">
        <v>1</v>
      </c>
    </row>
    <row r="273" spans="9:14" x14ac:dyDescent="0.3">
      <c r="I273" t="s">
        <v>124</v>
      </c>
      <c r="J273" s="22">
        <v>42888</v>
      </c>
      <c r="K273" t="s">
        <v>281</v>
      </c>
      <c r="L273">
        <v>6141</v>
      </c>
      <c r="M273">
        <v>3</v>
      </c>
      <c r="N273">
        <v>0</v>
      </c>
    </row>
    <row r="274" spans="9:14" x14ac:dyDescent="0.3">
      <c r="I274" t="s">
        <v>124</v>
      </c>
      <c r="J274" s="22">
        <v>42889</v>
      </c>
      <c r="K274" t="s">
        <v>292</v>
      </c>
      <c r="L274">
        <v>6221</v>
      </c>
      <c r="M274">
        <v>4</v>
      </c>
      <c r="N274">
        <v>0</v>
      </c>
    </row>
    <row r="275" spans="9:14" x14ac:dyDescent="0.3">
      <c r="I275" t="s">
        <v>124</v>
      </c>
      <c r="J275" s="22">
        <v>42861</v>
      </c>
      <c r="K275" t="s">
        <v>278</v>
      </c>
      <c r="L275">
        <v>6132</v>
      </c>
      <c r="M275">
        <v>5</v>
      </c>
      <c r="N275">
        <v>0</v>
      </c>
    </row>
    <row r="276" spans="9:14" x14ac:dyDescent="0.3">
      <c r="I276" t="s">
        <v>124</v>
      </c>
      <c r="J276" s="22">
        <v>42861</v>
      </c>
      <c r="K276" t="s">
        <v>294</v>
      </c>
      <c r="L276">
        <v>6223</v>
      </c>
      <c r="M276">
        <v>1</v>
      </c>
      <c r="N276">
        <v>0</v>
      </c>
    </row>
    <row r="277" spans="9:14" x14ac:dyDescent="0.3">
      <c r="I277" t="s">
        <v>124</v>
      </c>
      <c r="J277" s="22">
        <v>42889</v>
      </c>
      <c r="K277" t="s">
        <v>269</v>
      </c>
      <c r="L277">
        <v>6107</v>
      </c>
      <c r="M277">
        <v>1</v>
      </c>
      <c r="N277">
        <v>0</v>
      </c>
    </row>
    <row r="278" spans="9:14" x14ac:dyDescent="0.3">
      <c r="I278" t="s">
        <v>124</v>
      </c>
      <c r="J278" s="22">
        <v>42856</v>
      </c>
      <c r="K278" t="s">
        <v>261</v>
      </c>
      <c r="L278">
        <v>6117</v>
      </c>
      <c r="M278">
        <v>34</v>
      </c>
      <c r="N278">
        <v>32</v>
      </c>
    </row>
    <row r="279" spans="9:14" x14ac:dyDescent="0.3">
      <c r="I279" t="s">
        <v>124</v>
      </c>
      <c r="J279" s="22">
        <v>42856</v>
      </c>
      <c r="K279" t="s">
        <v>264</v>
      </c>
      <c r="L279">
        <v>6112</v>
      </c>
      <c r="M279">
        <v>9</v>
      </c>
      <c r="N279">
        <v>8</v>
      </c>
    </row>
    <row r="280" spans="9:14" x14ac:dyDescent="0.3">
      <c r="I280" t="s">
        <v>124</v>
      </c>
      <c r="J280" s="22">
        <v>42856</v>
      </c>
      <c r="K280" t="s">
        <v>254</v>
      </c>
      <c r="L280">
        <v>6133</v>
      </c>
      <c r="M280">
        <v>6</v>
      </c>
      <c r="N280">
        <v>5</v>
      </c>
    </row>
    <row r="281" spans="9:14" x14ac:dyDescent="0.3">
      <c r="I281" t="s">
        <v>124</v>
      </c>
      <c r="J281" s="22">
        <v>42856</v>
      </c>
      <c r="K281" t="s">
        <v>285</v>
      </c>
      <c r="L281">
        <v>6145</v>
      </c>
      <c r="M281">
        <v>2</v>
      </c>
      <c r="N281">
        <v>0</v>
      </c>
    </row>
    <row r="282" spans="9:14" x14ac:dyDescent="0.3">
      <c r="I282" t="s">
        <v>124</v>
      </c>
      <c r="J282" s="22">
        <v>42857</v>
      </c>
      <c r="K282" t="s">
        <v>274</v>
      </c>
      <c r="L282">
        <v>6124</v>
      </c>
      <c r="M282">
        <v>9</v>
      </c>
      <c r="N282">
        <v>9</v>
      </c>
    </row>
    <row r="283" spans="9:14" x14ac:dyDescent="0.3">
      <c r="I283" t="s">
        <v>124</v>
      </c>
      <c r="J283" s="22">
        <v>42857</v>
      </c>
      <c r="K283" t="s">
        <v>262</v>
      </c>
      <c r="L283">
        <v>6121</v>
      </c>
      <c r="M283">
        <v>25</v>
      </c>
      <c r="N283">
        <v>24</v>
      </c>
    </row>
    <row r="284" spans="9:14" x14ac:dyDescent="0.3">
      <c r="I284" t="s">
        <v>124</v>
      </c>
      <c r="J284" s="22">
        <v>42857</v>
      </c>
      <c r="K284" t="s">
        <v>254</v>
      </c>
      <c r="L284">
        <v>6133</v>
      </c>
      <c r="M284">
        <v>1</v>
      </c>
      <c r="N284">
        <v>1</v>
      </c>
    </row>
    <row r="285" spans="9:14" x14ac:dyDescent="0.3">
      <c r="I285" t="s">
        <v>124</v>
      </c>
      <c r="J285" s="22">
        <v>42857</v>
      </c>
      <c r="K285" t="s">
        <v>293</v>
      </c>
      <c r="L285">
        <v>6222</v>
      </c>
      <c r="M285">
        <v>4</v>
      </c>
      <c r="N285">
        <v>0</v>
      </c>
    </row>
    <row r="286" spans="9:14" x14ac:dyDescent="0.3">
      <c r="I286" t="s">
        <v>124</v>
      </c>
      <c r="J286" s="22">
        <v>42857</v>
      </c>
      <c r="K286" t="s">
        <v>288</v>
      </c>
      <c r="L286">
        <v>6148</v>
      </c>
      <c r="M286">
        <v>1</v>
      </c>
      <c r="N286">
        <v>0</v>
      </c>
    </row>
    <row r="287" spans="9:14" x14ac:dyDescent="0.3">
      <c r="I287" t="s">
        <v>124</v>
      </c>
      <c r="J287" s="22">
        <v>42858</v>
      </c>
      <c r="K287" t="s">
        <v>257</v>
      </c>
      <c r="L287">
        <v>6115</v>
      </c>
      <c r="M287">
        <v>47</v>
      </c>
      <c r="N287">
        <v>47</v>
      </c>
    </row>
    <row r="288" spans="9:14" x14ac:dyDescent="0.3">
      <c r="I288" t="s">
        <v>124</v>
      </c>
      <c r="J288" s="22">
        <v>42858</v>
      </c>
      <c r="K288" t="s">
        <v>272</v>
      </c>
      <c r="L288">
        <v>6116</v>
      </c>
      <c r="M288">
        <v>289</v>
      </c>
      <c r="N288">
        <v>2</v>
      </c>
    </row>
    <row r="289" spans="9:14" x14ac:dyDescent="0.3">
      <c r="I289" t="s">
        <v>124</v>
      </c>
      <c r="J289" s="22">
        <v>42858</v>
      </c>
      <c r="K289" t="s">
        <v>258</v>
      </c>
      <c r="L289">
        <v>6119</v>
      </c>
      <c r="M289">
        <v>80</v>
      </c>
      <c r="N289">
        <v>80</v>
      </c>
    </row>
    <row r="290" spans="9:14" x14ac:dyDescent="0.3">
      <c r="I290" t="s">
        <v>124</v>
      </c>
      <c r="J290" s="22">
        <v>42858</v>
      </c>
      <c r="K290" t="s">
        <v>274</v>
      </c>
      <c r="L290">
        <v>6124</v>
      </c>
      <c r="M290">
        <v>10</v>
      </c>
      <c r="N290">
        <v>10</v>
      </c>
    </row>
    <row r="291" spans="9:14" x14ac:dyDescent="0.3">
      <c r="I291" t="s">
        <v>124</v>
      </c>
      <c r="J291" s="22">
        <v>42858</v>
      </c>
      <c r="K291" t="s">
        <v>284</v>
      </c>
      <c r="L291">
        <v>6144</v>
      </c>
      <c r="M291">
        <v>2</v>
      </c>
      <c r="N291">
        <v>0</v>
      </c>
    </row>
    <row r="292" spans="9:14" x14ac:dyDescent="0.3">
      <c r="I292" t="s">
        <v>124</v>
      </c>
      <c r="J292" s="22">
        <v>42877</v>
      </c>
      <c r="K292" t="s">
        <v>276</v>
      </c>
      <c r="L292">
        <v>6126</v>
      </c>
      <c r="M292">
        <v>4</v>
      </c>
      <c r="N292">
        <v>0</v>
      </c>
    </row>
    <row r="293" spans="9:14" x14ac:dyDescent="0.3">
      <c r="I293" t="s">
        <v>124</v>
      </c>
      <c r="J293" s="22">
        <v>42877</v>
      </c>
      <c r="K293" t="s">
        <v>260</v>
      </c>
      <c r="L293">
        <v>6114</v>
      </c>
      <c r="M293">
        <v>54</v>
      </c>
      <c r="N293">
        <v>35</v>
      </c>
    </row>
    <row r="294" spans="9:14" x14ac:dyDescent="0.3">
      <c r="I294" t="s">
        <v>124</v>
      </c>
      <c r="J294" s="22">
        <v>42877</v>
      </c>
      <c r="K294" t="s">
        <v>261</v>
      </c>
      <c r="L294">
        <v>6117</v>
      </c>
      <c r="M294">
        <v>30</v>
      </c>
      <c r="N294">
        <v>28</v>
      </c>
    </row>
    <row r="295" spans="9:14" x14ac:dyDescent="0.3">
      <c r="I295" t="s">
        <v>124</v>
      </c>
      <c r="J295" s="22">
        <v>42877</v>
      </c>
      <c r="K295" t="s">
        <v>259</v>
      </c>
      <c r="L295">
        <v>6122</v>
      </c>
      <c r="M295">
        <v>42</v>
      </c>
      <c r="N295">
        <v>42</v>
      </c>
    </row>
    <row r="296" spans="9:14" x14ac:dyDescent="0.3">
      <c r="I296" t="s">
        <v>124</v>
      </c>
      <c r="J296" s="22">
        <v>42877</v>
      </c>
      <c r="K296" t="s">
        <v>270</v>
      </c>
      <c r="L296">
        <v>6110</v>
      </c>
      <c r="M296">
        <v>5</v>
      </c>
      <c r="N296">
        <v>5</v>
      </c>
    </row>
    <row r="297" spans="9:14" x14ac:dyDescent="0.3">
      <c r="I297" t="s">
        <v>124</v>
      </c>
      <c r="J297" s="22">
        <v>42877</v>
      </c>
      <c r="K297" t="s">
        <v>258</v>
      </c>
      <c r="L297">
        <v>6119</v>
      </c>
      <c r="M297">
        <v>90</v>
      </c>
      <c r="N297">
        <v>90</v>
      </c>
    </row>
    <row r="298" spans="9:14" x14ac:dyDescent="0.3">
      <c r="I298" t="s">
        <v>124</v>
      </c>
      <c r="J298" s="22">
        <v>42877</v>
      </c>
      <c r="K298" t="s">
        <v>323</v>
      </c>
      <c r="L298">
        <v>6588</v>
      </c>
      <c r="M298">
        <v>41</v>
      </c>
      <c r="N298">
        <v>7</v>
      </c>
    </row>
    <row r="299" spans="9:14" x14ac:dyDescent="0.3">
      <c r="I299" t="s">
        <v>124</v>
      </c>
      <c r="J299" s="22">
        <v>42859</v>
      </c>
      <c r="K299" t="s">
        <v>277</v>
      </c>
      <c r="L299">
        <v>6127</v>
      </c>
      <c r="M299">
        <v>409</v>
      </c>
      <c r="N299">
        <v>323</v>
      </c>
    </row>
    <row r="300" spans="9:14" x14ac:dyDescent="0.3">
      <c r="I300" t="s">
        <v>124</v>
      </c>
      <c r="J300" s="22">
        <v>42859</v>
      </c>
      <c r="K300" t="s">
        <v>288</v>
      </c>
      <c r="L300">
        <v>6148</v>
      </c>
      <c r="M300">
        <v>5</v>
      </c>
      <c r="N300">
        <v>0</v>
      </c>
    </row>
    <row r="301" spans="9:14" x14ac:dyDescent="0.3">
      <c r="I301" t="s">
        <v>124</v>
      </c>
      <c r="J301" s="22">
        <v>42859</v>
      </c>
      <c r="K301" t="s">
        <v>293</v>
      </c>
      <c r="L301">
        <v>6222</v>
      </c>
      <c r="M301">
        <v>9</v>
      </c>
      <c r="N301">
        <v>0</v>
      </c>
    </row>
    <row r="302" spans="9:14" x14ac:dyDescent="0.3">
      <c r="I302" t="s">
        <v>124</v>
      </c>
      <c r="J302" s="22">
        <v>42878</v>
      </c>
      <c r="K302" t="s">
        <v>283</v>
      </c>
      <c r="L302">
        <v>6143</v>
      </c>
      <c r="M302">
        <v>2</v>
      </c>
      <c r="N302">
        <v>0</v>
      </c>
    </row>
    <row r="303" spans="9:14" x14ac:dyDescent="0.3">
      <c r="I303" t="s">
        <v>124</v>
      </c>
      <c r="J303" s="22">
        <v>42859</v>
      </c>
      <c r="K303" t="s">
        <v>259</v>
      </c>
      <c r="L303">
        <v>6122</v>
      </c>
      <c r="M303">
        <v>38</v>
      </c>
      <c r="N303">
        <v>38</v>
      </c>
    </row>
    <row r="304" spans="9:14" x14ac:dyDescent="0.3">
      <c r="I304" t="s">
        <v>124</v>
      </c>
      <c r="J304" s="22">
        <v>42859</v>
      </c>
      <c r="K304" t="s">
        <v>263</v>
      </c>
      <c r="L304">
        <v>6120</v>
      </c>
      <c r="M304">
        <v>28</v>
      </c>
      <c r="N304">
        <v>23</v>
      </c>
    </row>
    <row r="305" spans="9:14" x14ac:dyDescent="0.3">
      <c r="I305" t="s">
        <v>124</v>
      </c>
      <c r="J305" s="22">
        <v>42859</v>
      </c>
      <c r="K305" t="s">
        <v>287</v>
      </c>
      <c r="L305">
        <v>6147</v>
      </c>
      <c r="M305">
        <v>2</v>
      </c>
      <c r="N305">
        <v>0</v>
      </c>
    </row>
    <row r="306" spans="9:14" x14ac:dyDescent="0.3">
      <c r="I306" t="s">
        <v>124</v>
      </c>
      <c r="J306" s="22">
        <v>42860</v>
      </c>
      <c r="K306" t="s">
        <v>256</v>
      </c>
      <c r="L306">
        <v>6113</v>
      </c>
      <c r="M306">
        <v>45</v>
      </c>
      <c r="N306">
        <v>45</v>
      </c>
    </row>
    <row r="307" spans="9:14" x14ac:dyDescent="0.3">
      <c r="I307" t="s">
        <v>124</v>
      </c>
      <c r="J307" s="22">
        <v>42860</v>
      </c>
      <c r="K307" t="s">
        <v>274</v>
      </c>
      <c r="L307">
        <v>6124</v>
      </c>
      <c r="M307">
        <v>3</v>
      </c>
      <c r="N307">
        <v>3</v>
      </c>
    </row>
    <row r="308" spans="9:14" x14ac:dyDescent="0.3">
      <c r="I308" t="s">
        <v>124</v>
      </c>
      <c r="J308" s="22">
        <v>42860</v>
      </c>
      <c r="K308" t="s">
        <v>290</v>
      </c>
      <c r="L308">
        <v>6150</v>
      </c>
      <c r="M308">
        <v>2</v>
      </c>
      <c r="N308">
        <v>0</v>
      </c>
    </row>
    <row r="309" spans="9:14" x14ac:dyDescent="0.3">
      <c r="I309" t="s">
        <v>124</v>
      </c>
      <c r="J309" s="22">
        <v>42878</v>
      </c>
      <c r="K309" t="s">
        <v>276</v>
      </c>
      <c r="L309">
        <v>6126</v>
      </c>
      <c r="M309">
        <v>1</v>
      </c>
      <c r="N309">
        <v>0</v>
      </c>
    </row>
    <row r="310" spans="9:14" x14ac:dyDescent="0.3">
      <c r="I310" t="s">
        <v>124</v>
      </c>
      <c r="J310" s="22">
        <v>42878</v>
      </c>
      <c r="K310" t="s">
        <v>258</v>
      </c>
      <c r="L310">
        <v>6119</v>
      </c>
      <c r="M310">
        <v>79</v>
      </c>
      <c r="N310">
        <v>79</v>
      </c>
    </row>
    <row r="311" spans="9:14" x14ac:dyDescent="0.3">
      <c r="I311" t="s">
        <v>124</v>
      </c>
      <c r="J311" s="22">
        <v>42878</v>
      </c>
      <c r="K311" t="s">
        <v>262</v>
      </c>
      <c r="L311">
        <v>6121</v>
      </c>
      <c r="M311">
        <v>19</v>
      </c>
      <c r="N311">
        <v>18</v>
      </c>
    </row>
    <row r="312" spans="9:14" x14ac:dyDescent="0.3">
      <c r="I312" t="s">
        <v>124</v>
      </c>
      <c r="J312" s="22">
        <v>42878</v>
      </c>
      <c r="K312" t="s">
        <v>281</v>
      </c>
      <c r="L312">
        <v>6141</v>
      </c>
      <c r="M312">
        <v>1</v>
      </c>
      <c r="N312">
        <v>0</v>
      </c>
    </row>
    <row r="313" spans="9:14" x14ac:dyDescent="0.3">
      <c r="I313" t="s">
        <v>124</v>
      </c>
      <c r="J313" s="22">
        <v>42863</v>
      </c>
      <c r="K313" t="s">
        <v>260</v>
      </c>
      <c r="L313">
        <v>6114</v>
      </c>
      <c r="M313">
        <v>61</v>
      </c>
      <c r="N313">
        <v>47</v>
      </c>
    </row>
    <row r="314" spans="9:14" x14ac:dyDescent="0.3">
      <c r="I314" t="s">
        <v>124</v>
      </c>
      <c r="J314" s="22">
        <v>42863</v>
      </c>
      <c r="K314" t="s">
        <v>261</v>
      </c>
      <c r="L314">
        <v>6117</v>
      </c>
      <c r="M314">
        <v>27</v>
      </c>
      <c r="N314">
        <v>27</v>
      </c>
    </row>
    <row r="315" spans="9:14" x14ac:dyDescent="0.3">
      <c r="I315" t="s">
        <v>124</v>
      </c>
      <c r="J315" s="22">
        <v>42863</v>
      </c>
      <c r="K315" t="s">
        <v>271</v>
      </c>
      <c r="L315">
        <v>6111</v>
      </c>
      <c r="M315">
        <v>1</v>
      </c>
      <c r="N315">
        <v>0</v>
      </c>
    </row>
    <row r="316" spans="9:14" x14ac:dyDescent="0.3">
      <c r="I316" t="s">
        <v>124</v>
      </c>
      <c r="J316" s="22">
        <v>42863</v>
      </c>
      <c r="K316" t="s">
        <v>284</v>
      </c>
      <c r="L316">
        <v>6144</v>
      </c>
      <c r="M316">
        <v>1</v>
      </c>
      <c r="N316">
        <v>0</v>
      </c>
    </row>
    <row r="317" spans="9:14" x14ac:dyDescent="0.3">
      <c r="I317" t="s">
        <v>124</v>
      </c>
      <c r="J317" s="22">
        <v>42864</v>
      </c>
      <c r="K317" t="s">
        <v>293</v>
      </c>
      <c r="L317">
        <v>6222</v>
      </c>
      <c r="M317">
        <v>9</v>
      </c>
      <c r="N317">
        <v>0</v>
      </c>
    </row>
    <row r="318" spans="9:14" x14ac:dyDescent="0.3">
      <c r="I318" t="s">
        <v>124</v>
      </c>
      <c r="J318" s="22">
        <v>42865</v>
      </c>
      <c r="K318" t="s">
        <v>289</v>
      </c>
      <c r="L318">
        <v>6149</v>
      </c>
      <c r="M318">
        <v>2</v>
      </c>
      <c r="N318">
        <v>0</v>
      </c>
    </row>
    <row r="319" spans="9:14" x14ac:dyDescent="0.3">
      <c r="I319" t="s">
        <v>124</v>
      </c>
      <c r="J319" s="22">
        <v>42864</v>
      </c>
      <c r="K319" t="s">
        <v>276</v>
      </c>
      <c r="L319">
        <v>6126</v>
      </c>
      <c r="M319">
        <v>1</v>
      </c>
      <c r="N319">
        <v>0</v>
      </c>
    </row>
    <row r="320" spans="9:14" x14ac:dyDescent="0.3">
      <c r="I320" t="s">
        <v>124</v>
      </c>
      <c r="J320" s="22">
        <v>42864</v>
      </c>
      <c r="K320" t="s">
        <v>278</v>
      </c>
      <c r="L320">
        <v>6132</v>
      </c>
      <c r="M320">
        <v>1</v>
      </c>
      <c r="N320">
        <v>0</v>
      </c>
    </row>
    <row r="321" spans="9:14" x14ac:dyDescent="0.3">
      <c r="I321" t="s">
        <v>124</v>
      </c>
      <c r="J321" s="22">
        <v>42866</v>
      </c>
      <c r="K321" t="s">
        <v>255</v>
      </c>
      <c r="L321">
        <v>6109</v>
      </c>
      <c r="M321">
        <v>767</v>
      </c>
      <c r="N321">
        <v>725</v>
      </c>
    </row>
    <row r="322" spans="9:14" x14ac:dyDescent="0.3">
      <c r="I322" t="s">
        <v>124</v>
      </c>
      <c r="J322" s="22">
        <v>42866</v>
      </c>
      <c r="K322" t="s">
        <v>262</v>
      </c>
      <c r="L322">
        <v>6121</v>
      </c>
      <c r="M322">
        <v>19</v>
      </c>
      <c r="N322">
        <v>19</v>
      </c>
    </row>
    <row r="323" spans="9:14" x14ac:dyDescent="0.3">
      <c r="I323" t="s">
        <v>124</v>
      </c>
      <c r="J323" s="22">
        <v>42866</v>
      </c>
      <c r="K323" t="s">
        <v>281</v>
      </c>
      <c r="L323">
        <v>6141</v>
      </c>
      <c r="M323">
        <v>1</v>
      </c>
      <c r="N323">
        <v>0</v>
      </c>
    </row>
    <row r="324" spans="9:14" x14ac:dyDescent="0.3">
      <c r="I324" t="s">
        <v>124</v>
      </c>
      <c r="J324" s="22">
        <v>42867</v>
      </c>
      <c r="K324" t="s">
        <v>257</v>
      </c>
      <c r="L324">
        <v>6115</v>
      </c>
      <c r="M324">
        <v>46</v>
      </c>
      <c r="N324">
        <v>35</v>
      </c>
    </row>
    <row r="325" spans="9:14" x14ac:dyDescent="0.3">
      <c r="I325" t="s">
        <v>124</v>
      </c>
      <c r="J325" s="22">
        <v>42867</v>
      </c>
      <c r="K325" t="s">
        <v>264</v>
      </c>
      <c r="L325">
        <v>6112</v>
      </c>
      <c r="M325">
        <v>15</v>
      </c>
      <c r="N325">
        <v>0</v>
      </c>
    </row>
    <row r="326" spans="9:14" x14ac:dyDescent="0.3">
      <c r="I326" t="s">
        <v>124</v>
      </c>
      <c r="J326" s="22">
        <v>42868</v>
      </c>
      <c r="K326" t="s">
        <v>269</v>
      </c>
      <c r="L326">
        <v>6107</v>
      </c>
      <c r="M326">
        <v>1</v>
      </c>
      <c r="N326">
        <v>0</v>
      </c>
    </row>
    <row r="327" spans="9:14" x14ac:dyDescent="0.3">
      <c r="I327" t="s">
        <v>124</v>
      </c>
      <c r="J327" s="22">
        <v>42885</v>
      </c>
      <c r="K327" t="s">
        <v>328</v>
      </c>
      <c r="L327">
        <v>6589</v>
      </c>
      <c r="M327">
        <v>70</v>
      </c>
      <c r="N327">
        <v>12</v>
      </c>
    </row>
    <row r="328" spans="9:14" x14ac:dyDescent="0.3">
      <c r="I328" t="s">
        <v>124</v>
      </c>
      <c r="J328" s="22">
        <v>42885</v>
      </c>
      <c r="K328" t="s">
        <v>269</v>
      </c>
      <c r="L328">
        <v>6107</v>
      </c>
      <c r="M328">
        <v>768</v>
      </c>
      <c r="N328">
        <v>0</v>
      </c>
    </row>
    <row r="329" spans="9:14" x14ac:dyDescent="0.3">
      <c r="I329" t="s">
        <v>124</v>
      </c>
      <c r="J329" s="22">
        <v>42881</v>
      </c>
      <c r="K329" t="s">
        <v>322</v>
      </c>
      <c r="L329">
        <v>6586</v>
      </c>
      <c r="M329">
        <v>4833</v>
      </c>
      <c r="N329">
        <v>1240</v>
      </c>
    </row>
    <row r="330" spans="9:14" x14ac:dyDescent="0.3">
      <c r="I330" t="s">
        <v>124</v>
      </c>
      <c r="J330" s="22">
        <v>42885</v>
      </c>
      <c r="K330" t="s">
        <v>279</v>
      </c>
      <c r="L330">
        <v>6139</v>
      </c>
      <c r="M330">
        <v>1</v>
      </c>
      <c r="N330">
        <v>0</v>
      </c>
    </row>
    <row r="331" spans="9:14" x14ac:dyDescent="0.3">
      <c r="I331" t="s">
        <v>124</v>
      </c>
      <c r="J331" s="22">
        <v>42881</v>
      </c>
      <c r="K331" t="s">
        <v>265</v>
      </c>
      <c r="L331">
        <v>6118</v>
      </c>
      <c r="M331">
        <v>29</v>
      </c>
      <c r="N331">
        <v>23</v>
      </c>
    </row>
    <row r="332" spans="9:14" x14ac:dyDescent="0.3">
      <c r="I332" t="s">
        <v>124</v>
      </c>
      <c r="J332" s="22">
        <v>42881</v>
      </c>
      <c r="K332" t="s">
        <v>328</v>
      </c>
      <c r="L332">
        <v>6589</v>
      </c>
      <c r="M332">
        <v>44</v>
      </c>
      <c r="N332">
        <v>15</v>
      </c>
    </row>
    <row r="333" spans="9:14" x14ac:dyDescent="0.3">
      <c r="I333" t="s">
        <v>124</v>
      </c>
      <c r="J333" s="22">
        <v>42882</v>
      </c>
      <c r="K333" t="s">
        <v>277</v>
      </c>
      <c r="L333">
        <v>6127</v>
      </c>
      <c r="M333">
        <v>12</v>
      </c>
      <c r="N333">
        <v>0</v>
      </c>
    </row>
    <row r="334" spans="9:14" x14ac:dyDescent="0.3">
      <c r="I334" t="s">
        <v>124</v>
      </c>
      <c r="J334" s="22">
        <v>42882</v>
      </c>
      <c r="K334" t="s">
        <v>322</v>
      </c>
      <c r="L334">
        <v>6586</v>
      </c>
      <c r="M334">
        <v>12</v>
      </c>
      <c r="N334">
        <v>12</v>
      </c>
    </row>
    <row r="335" spans="9:14" x14ac:dyDescent="0.3">
      <c r="I335" t="s">
        <v>124</v>
      </c>
      <c r="J335" s="22">
        <v>42886</v>
      </c>
      <c r="K335" t="s">
        <v>278</v>
      </c>
      <c r="L335">
        <v>6132</v>
      </c>
      <c r="M335">
        <v>5</v>
      </c>
      <c r="N335">
        <v>0</v>
      </c>
    </row>
    <row r="336" spans="9:14" x14ac:dyDescent="0.3">
      <c r="I336" t="s">
        <v>124</v>
      </c>
      <c r="J336" s="22">
        <v>42887</v>
      </c>
      <c r="K336" t="s">
        <v>269</v>
      </c>
      <c r="L336">
        <v>6107</v>
      </c>
      <c r="M336">
        <v>455</v>
      </c>
      <c r="N336">
        <v>0</v>
      </c>
    </row>
    <row r="337" spans="9:14" x14ac:dyDescent="0.3">
      <c r="I337" t="s">
        <v>124</v>
      </c>
      <c r="J337" s="22">
        <v>42887</v>
      </c>
      <c r="K337" t="s">
        <v>327</v>
      </c>
      <c r="L337">
        <v>6593</v>
      </c>
      <c r="M337">
        <v>91</v>
      </c>
      <c r="N337">
        <v>15</v>
      </c>
    </row>
    <row r="338" spans="9:14" x14ac:dyDescent="0.3">
      <c r="I338" t="s">
        <v>124</v>
      </c>
      <c r="J338" s="22">
        <v>42887</v>
      </c>
      <c r="K338" t="s">
        <v>331</v>
      </c>
      <c r="L338">
        <v>6597</v>
      </c>
      <c r="M338">
        <v>75</v>
      </c>
      <c r="N338">
        <v>19</v>
      </c>
    </row>
    <row r="339" spans="9:14" x14ac:dyDescent="0.3">
      <c r="I339" t="s">
        <v>124</v>
      </c>
      <c r="J339" s="22">
        <v>42888</v>
      </c>
      <c r="K339" t="s">
        <v>265</v>
      </c>
      <c r="L339">
        <v>6118</v>
      </c>
      <c r="M339">
        <v>41</v>
      </c>
      <c r="N339">
        <v>33</v>
      </c>
    </row>
    <row r="340" spans="9:14" x14ac:dyDescent="0.3">
      <c r="I340" t="s">
        <v>124</v>
      </c>
      <c r="J340" s="22">
        <v>42888</v>
      </c>
      <c r="K340" t="s">
        <v>263</v>
      </c>
      <c r="L340">
        <v>6120</v>
      </c>
      <c r="M340">
        <v>32</v>
      </c>
      <c r="N340">
        <v>27</v>
      </c>
    </row>
    <row r="341" spans="9:14" x14ac:dyDescent="0.3">
      <c r="I341" t="s">
        <v>124</v>
      </c>
      <c r="J341" s="22">
        <v>42888</v>
      </c>
      <c r="K341" t="s">
        <v>261</v>
      </c>
      <c r="L341">
        <v>6117</v>
      </c>
      <c r="M341">
        <v>23</v>
      </c>
      <c r="N341">
        <v>23</v>
      </c>
    </row>
    <row r="342" spans="9:14" x14ac:dyDescent="0.3">
      <c r="I342" t="s">
        <v>124</v>
      </c>
      <c r="J342" s="22">
        <v>42888</v>
      </c>
      <c r="K342" t="s">
        <v>327</v>
      </c>
      <c r="L342">
        <v>6593</v>
      </c>
      <c r="M342">
        <v>84</v>
      </c>
      <c r="N342">
        <v>14</v>
      </c>
    </row>
    <row r="343" spans="9:14" x14ac:dyDescent="0.3">
      <c r="I343" t="s">
        <v>124</v>
      </c>
      <c r="J343" s="22">
        <v>42886</v>
      </c>
      <c r="K343" t="s">
        <v>325</v>
      </c>
      <c r="L343">
        <v>6595</v>
      </c>
      <c r="M343">
        <v>49</v>
      </c>
      <c r="N343">
        <v>14</v>
      </c>
    </row>
    <row r="344" spans="9:14" x14ac:dyDescent="0.3">
      <c r="I344" t="s">
        <v>124</v>
      </c>
      <c r="J344" s="22">
        <v>42886</v>
      </c>
      <c r="K344" t="s">
        <v>262</v>
      </c>
      <c r="L344">
        <v>6121</v>
      </c>
      <c r="M344">
        <v>30</v>
      </c>
      <c r="N344">
        <v>28</v>
      </c>
    </row>
    <row r="345" spans="9:14" x14ac:dyDescent="0.3">
      <c r="I345" t="s">
        <v>124</v>
      </c>
      <c r="J345" s="22">
        <v>42886</v>
      </c>
      <c r="K345" t="s">
        <v>290</v>
      </c>
      <c r="L345">
        <v>6150</v>
      </c>
      <c r="M345">
        <v>2</v>
      </c>
      <c r="N345">
        <v>0</v>
      </c>
    </row>
    <row r="346" spans="9:14" x14ac:dyDescent="0.3">
      <c r="I346" t="s">
        <v>124</v>
      </c>
      <c r="J346" s="22">
        <v>42888</v>
      </c>
      <c r="K346" t="s">
        <v>282</v>
      </c>
      <c r="L346">
        <v>6142</v>
      </c>
      <c r="M346">
        <v>2</v>
      </c>
      <c r="N346">
        <v>0</v>
      </c>
    </row>
    <row r="347" spans="9:14" x14ac:dyDescent="0.3">
      <c r="I347" t="s">
        <v>124</v>
      </c>
      <c r="J347" s="22">
        <v>42861</v>
      </c>
      <c r="K347" t="s">
        <v>287</v>
      </c>
      <c r="L347">
        <v>6147</v>
      </c>
      <c r="M347">
        <v>7</v>
      </c>
      <c r="N347">
        <v>0</v>
      </c>
    </row>
    <row r="348" spans="9:14" x14ac:dyDescent="0.3">
      <c r="I348" t="s">
        <v>124</v>
      </c>
      <c r="J348" s="22">
        <v>42888</v>
      </c>
      <c r="K348" t="s">
        <v>287</v>
      </c>
      <c r="L348">
        <v>6147</v>
      </c>
      <c r="M348">
        <v>2</v>
      </c>
      <c r="N348">
        <v>0</v>
      </c>
    </row>
    <row r="349" spans="9:14" x14ac:dyDescent="0.3">
      <c r="I349" t="s">
        <v>124</v>
      </c>
      <c r="J349" s="22">
        <v>42861</v>
      </c>
      <c r="K349" t="s">
        <v>273</v>
      </c>
      <c r="L349">
        <v>6123</v>
      </c>
      <c r="M349">
        <v>3</v>
      </c>
      <c r="N349">
        <v>0</v>
      </c>
    </row>
    <row r="350" spans="9:14" x14ac:dyDescent="0.3">
      <c r="I350" t="s">
        <v>124</v>
      </c>
      <c r="J350" s="22">
        <v>42856</v>
      </c>
      <c r="K350" t="s">
        <v>282</v>
      </c>
      <c r="L350">
        <v>6142</v>
      </c>
      <c r="M350">
        <v>7</v>
      </c>
      <c r="N350">
        <v>0</v>
      </c>
    </row>
    <row r="351" spans="9:14" x14ac:dyDescent="0.3">
      <c r="I351" t="s">
        <v>124</v>
      </c>
      <c r="J351" s="22">
        <v>42856</v>
      </c>
      <c r="K351" t="s">
        <v>273</v>
      </c>
      <c r="L351">
        <v>6123</v>
      </c>
      <c r="M351">
        <v>21</v>
      </c>
      <c r="N351">
        <v>21</v>
      </c>
    </row>
    <row r="352" spans="9:14" x14ac:dyDescent="0.3">
      <c r="I352" t="s">
        <v>124</v>
      </c>
      <c r="J352" s="22">
        <v>42857</v>
      </c>
      <c r="K352" t="s">
        <v>292</v>
      </c>
      <c r="L352">
        <v>6221</v>
      </c>
      <c r="M352">
        <v>47</v>
      </c>
      <c r="N352">
        <v>0</v>
      </c>
    </row>
    <row r="353" spans="9:14" x14ac:dyDescent="0.3">
      <c r="I353" t="s">
        <v>124</v>
      </c>
      <c r="J353" s="22">
        <v>42857</v>
      </c>
      <c r="K353" t="s">
        <v>268</v>
      </c>
      <c r="L353">
        <v>6106</v>
      </c>
      <c r="M353">
        <v>8762</v>
      </c>
      <c r="N353">
        <v>2055</v>
      </c>
    </row>
    <row r="354" spans="9:14" x14ac:dyDescent="0.3">
      <c r="I354" t="s">
        <v>124</v>
      </c>
      <c r="J354" s="22">
        <v>42858</v>
      </c>
      <c r="K354" t="s">
        <v>256</v>
      </c>
      <c r="L354">
        <v>6113</v>
      </c>
      <c r="M354">
        <v>46</v>
      </c>
      <c r="N354">
        <v>45</v>
      </c>
    </row>
    <row r="355" spans="9:14" x14ac:dyDescent="0.3">
      <c r="I355" t="s">
        <v>124</v>
      </c>
      <c r="J355" s="22">
        <v>42858</v>
      </c>
      <c r="K355" t="s">
        <v>278</v>
      </c>
      <c r="L355">
        <v>6132</v>
      </c>
      <c r="M355">
        <v>1</v>
      </c>
      <c r="N355">
        <v>0</v>
      </c>
    </row>
    <row r="356" spans="9:14" x14ac:dyDescent="0.3">
      <c r="I356" t="s">
        <v>124</v>
      </c>
      <c r="J356" s="22">
        <v>42877</v>
      </c>
      <c r="K356" t="s">
        <v>268</v>
      </c>
      <c r="L356">
        <v>6106</v>
      </c>
      <c r="M356">
        <v>8683</v>
      </c>
      <c r="N356">
        <v>0</v>
      </c>
    </row>
    <row r="357" spans="9:14" x14ac:dyDescent="0.3">
      <c r="I357" t="s">
        <v>124</v>
      </c>
      <c r="J357" s="22">
        <v>42877</v>
      </c>
      <c r="K357" t="s">
        <v>264</v>
      </c>
      <c r="L357">
        <v>6112</v>
      </c>
      <c r="M357">
        <v>12</v>
      </c>
      <c r="N357">
        <v>11</v>
      </c>
    </row>
    <row r="358" spans="9:14" x14ac:dyDescent="0.3">
      <c r="I358" t="s">
        <v>124</v>
      </c>
      <c r="J358" s="22">
        <v>42877</v>
      </c>
      <c r="K358" t="s">
        <v>262</v>
      </c>
      <c r="L358">
        <v>6121</v>
      </c>
      <c r="M358">
        <v>24</v>
      </c>
      <c r="N358">
        <v>23</v>
      </c>
    </row>
    <row r="359" spans="9:14" x14ac:dyDescent="0.3">
      <c r="I359" t="s">
        <v>124</v>
      </c>
      <c r="J359" s="22">
        <v>42877</v>
      </c>
      <c r="K359" t="s">
        <v>328</v>
      </c>
      <c r="L359">
        <v>6589</v>
      </c>
      <c r="M359">
        <v>65</v>
      </c>
      <c r="N359">
        <v>14</v>
      </c>
    </row>
    <row r="360" spans="9:14" x14ac:dyDescent="0.3">
      <c r="I360" t="s">
        <v>124</v>
      </c>
      <c r="J360" s="22">
        <v>42877</v>
      </c>
      <c r="K360" t="s">
        <v>274</v>
      </c>
      <c r="L360">
        <v>6124</v>
      </c>
      <c r="M360">
        <v>7</v>
      </c>
      <c r="N360">
        <v>7</v>
      </c>
    </row>
    <row r="361" spans="9:14" x14ac:dyDescent="0.3">
      <c r="I361" t="s">
        <v>124</v>
      </c>
      <c r="J361" s="22">
        <v>42859</v>
      </c>
      <c r="K361" t="s">
        <v>265</v>
      </c>
      <c r="L361">
        <v>6118</v>
      </c>
      <c r="M361">
        <v>44</v>
      </c>
      <c r="N361">
        <v>43</v>
      </c>
    </row>
    <row r="362" spans="9:14" x14ac:dyDescent="0.3">
      <c r="I362" t="s">
        <v>124</v>
      </c>
      <c r="J362" s="22">
        <v>42859</v>
      </c>
      <c r="K362" t="s">
        <v>258</v>
      </c>
      <c r="L362">
        <v>6119</v>
      </c>
      <c r="M362">
        <v>58</v>
      </c>
      <c r="N362">
        <v>58</v>
      </c>
    </row>
    <row r="363" spans="9:14" x14ac:dyDescent="0.3">
      <c r="I363" t="s">
        <v>124</v>
      </c>
      <c r="J363" s="22">
        <v>42859</v>
      </c>
      <c r="K363" t="s">
        <v>260</v>
      </c>
      <c r="L363">
        <v>6114</v>
      </c>
      <c r="M363">
        <v>48</v>
      </c>
      <c r="N363">
        <v>34</v>
      </c>
    </row>
    <row r="364" spans="9:14" x14ac:dyDescent="0.3">
      <c r="I364" t="s">
        <v>124</v>
      </c>
      <c r="J364" s="22">
        <v>42859</v>
      </c>
      <c r="K364" t="s">
        <v>261</v>
      </c>
      <c r="L364">
        <v>6117</v>
      </c>
      <c r="M364">
        <v>10</v>
      </c>
      <c r="N364">
        <v>10</v>
      </c>
    </row>
    <row r="365" spans="9:14" x14ac:dyDescent="0.3">
      <c r="I365" t="s">
        <v>124</v>
      </c>
      <c r="J365" s="22">
        <v>42860</v>
      </c>
      <c r="K365" t="s">
        <v>277</v>
      </c>
      <c r="L365">
        <v>6127</v>
      </c>
      <c r="M365">
        <v>315</v>
      </c>
      <c r="N365">
        <v>235</v>
      </c>
    </row>
    <row r="366" spans="9:14" x14ac:dyDescent="0.3">
      <c r="I366" t="s">
        <v>124</v>
      </c>
      <c r="J366" s="22">
        <v>42859</v>
      </c>
      <c r="K366" t="s">
        <v>282</v>
      </c>
      <c r="L366">
        <v>6142</v>
      </c>
      <c r="M366">
        <v>2</v>
      </c>
      <c r="N366">
        <v>0</v>
      </c>
    </row>
    <row r="367" spans="9:14" x14ac:dyDescent="0.3">
      <c r="I367" t="s">
        <v>124</v>
      </c>
      <c r="J367" s="22">
        <v>42860</v>
      </c>
      <c r="K367" t="s">
        <v>281</v>
      </c>
      <c r="L367">
        <v>6141</v>
      </c>
      <c r="M367">
        <v>1</v>
      </c>
      <c r="N367">
        <v>0</v>
      </c>
    </row>
    <row r="368" spans="9:14" x14ac:dyDescent="0.3">
      <c r="I368" t="s">
        <v>124</v>
      </c>
      <c r="J368" s="22">
        <v>42876</v>
      </c>
      <c r="K368" t="s">
        <v>278</v>
      </c>
      <c r="L368">
        <v>6132</v>
      </c>
      <c r="M368">
        <v>3</v>
      </c>
      <c r="N368">
        <v>0</v>
      </c>
    </row>
    <row r="369" spans="9:14" x14ac:dyDescent="0.3">
      <c r="I369" t="s">
        <v>124</v>
      </c>
      <c r="J369" s="22">
        <v>42876</v>
      </c>
      <c r="K369" t="s">
        <v>322</v>
      </c>
      <c r="L369">
        <v>6586</v>
      </c>
      <c r="M369">
        <v>114</v>
      </c>
      <c r="N369">
        <v>83</v>
      </c>
    </row>
    <row r="370" spans="9:14" x14ac:dyDescent="0.3">
      <c r="I370" t="s">
        <v>124</v>
      </c>
      <c r="J370" s="22">
        <v>42878</v>
      </c>
      <c r="K370" t="s">
        <v>330</v>
      </c>
      <c r="L370">
        <v>6594</v>
      </c>
      <c r="M370">
        <v>38</v>
      </c>
      <c r="N370">
        <v>12</v>
      </c>
    </row>
    <row r="371" spans="9:14" x14ac:dyDescent="0.3">
      <c r="I371" t="s">
        <v>124</v>
      </c>
      <c r="J371" s="22">
        <v>42878</v>
      </c>
      <c r="K371" t="s">
        <v>293</v>
      </c>
      <c r="L371">
        <v>6222</v>
      </c>
      <c r="M371">
        <v>5</v>
      </c>
      <c r="N371">
        <v>0</v>
      </c>
    </row>
    <row r="372" spans="9:14" x14ac:dyDescent="0.3">
      <c r="I372" t="s">
        <v>124</v>
      </c>
      <c r="J372" s="22">
        <v>42876</v>
      </c>
      <c r="K372" t="s">
        <v>318</v>
      </c>
      <c r="L372">
        <v>6590</v>
      </c>
      <c r="M372">
        <v>1</v>
      </c>
      <c r="N372">
        <v>0</v>
      </c>
    </row>
    <row r="373" spans="9:14" x14ac:dyDescent="0.3">
      <c r="I373" t="s">
        <v>124</v>
      </c>
      <c r="J373" s="22">
        <v>42860</v>
      </c>
      <c r="K373" t="s">
        <v>282</v>
      </c>
      <c r="L373">
        <v>6142</v>
      </c>
      <c r="M373">
        <v>4</v>
      </c>
      <c r="N373">
        <v>0</v>
      </c>
    </row>
    <row r="374" spans="9:14" x14ac:dyDescent="0.3">
      <c r="I374" t="s">
        <v>124</v>
      </c>
      <c r="J374" s="22">
        <v>42878</v>
      </c>
      <c r="K374" t="s">
        <v>259</v>
      </c>
      <c r="L374">
        <v>6122</v>
      </c>
      <c r="M374">
        <v>36</v>
      </c>
      <c r="N374">
        <v>36</v>
      </c>
    </row>
    <row r="375" spans="9:14" x14ac:dyDescent="0.3">
      <c r="I375" t="s">
        <v>124</v>
      </c>
      <c r="J375" s="22">
        <v>42878</v>
      </c>
      <c r="K375" t="s">
        <v>288</v>
      </c>
      <c r="L375">
        <v>6148</v>
      </c>
      <c r="M375">
        <v>3</v>
      </c>
      <c r="N375">
        <v>0</v>
      </c>
    </row>
    <row r="376" spans="9:14" x14ac:dyDescent="0.3">
      <c r="I376" t="s">
        <v>124</v>
      </c>
      <c r="J376" s="22">
        <v>42879</v>
      </c>
      <c r="K376" t="s">
        <v>269</v>
      </c>
      <c r="L376">
        <v>6107</v>
      </c>
      <c r="M376">
        <v>2</v>
      </c>
      <c r="N376">
        <v>0</v>
      </c>
    </row>
    <row r="377" spans="9:14" x14ac:dyDescent="0.3">
      <c r="I377" t="s">
        <v>124</v>
      </c>
      <c r="J377" s="22">
        <v>42879</v>
      </c>
      <c r="K377" t="s">
        <v>319</v>
      </c>
      <c r="L377">
        <v>6592</v>
      </c>
      <c r="M377">
        <v>2</v>
      </c>
      <c r="N377">
        <v>0</v>
      </c>
    </row>
    <row r="378" spans="9:14" x14ac:dyDescent="0.3">
      <c r="I378" t="s">
        <v>124</v>
      </c>
      <c r="J378" s="22">
        <v>42863</v>
      </c>
      <c r="K378" t="s">
        <v>257</v>
      </c>
      <c r="L378">
        <v>6115</v>
      </c>
      <c r="M378">
        <v>67</v>
      </c>
      <c r="N378">
        <v>67</v>
      </c>
    </row>
    <row r="379" spans="9:14" x14ac:dyDescent="0.3">
      <c r="I379" t="s">
        <v>124</v>
      </c>
      <c r="J379" s="22">
        <v>42863</v>
      </c>
      <c r="K379" t="s">
        <v>288</v>
      </c>
      <c r="L379">
        <v>6148</v>
      </c>
      <c r="M379">
        <v>3</v>
      </c>
      <c r="N379">
        <v>0</v>
      </c>
    </row>
    <row r="380" spans="9:14" x14ac:dyDescent="0.3">
      <c r="I380" t="s">
        <v>124</v>
      </c>
      <c r="J380" s="22">
        <v>42864</v>
      </c>
      <c r="K380" t="s">
        <v>253</v>
      </c>
      <c r="L380">
        <v>6108</v>
      </c>
      <c r="M380">
        <v>4655</v>
      </c>
      <c r="N380">
        <v>4650</v>
      </c>
    </row>
    <row r="381" spans="9:14" x14ac:dyDescent="0.3">
      <c r="I381" t="s">
        <v>124</v>
      </c>
      <c r="J381" s="22">
        <v>42864</v>
      </c>
      <c r="K381" t="s">
        <v>256</v>
      </c>
      <c r="L381">
        <v>6113</v>
      </c>
      <c r="M381">
        <v>74</v>
      </c>
      <c r="N381">
        <v>72</v>
      </c>
    </row>
    <row r="382" spans="9:14" x14ac:dyDescent="0.3">
      <c r="I382" t="s">
        <v>124</v>
      </c>
      <c r="J382" s="22">
        <v>42864</v>
      </c>
      <c r="K382" t="s">
        <v>261</v>
      </c>
      <c r="L382">
        <v>6117</v>
      </c>
      <c r="M382">
        <v>22</v>
      </c>
      <c r="N382">
        <v>22</v>
      </c>
    </row>
    <row r="383" spans="9:14" x14ac:dyDescent="0.3">
      <c r="I383" t="s">
        <v>124</v>
      </c>
      <c r="J383" s="22">
        <v>42864</v>
      </c>
      <c r="K383" t="s">
        <v>268</v>
      </c>
      <c r="L383">
        <v>6106</v>
      </c>
      <c r="M383">
        <v>7892</v>
      </c>
      <c r="N383">
        <v>1998</v>
      </c>
    </row>
    <row r="384" spans="9:14" x14ac:dyDescent="0.3">
      <c r="I384" t="s">
        <v>124</v>
      </c>
      <c r="J384" s="22">
        <v>42864</v>
      </c>
      <c r="K384" t="s">
        <v>263</v>
      </c>
      <c r="L384">
        <v>6120</v>
      </c>
      <c r="M384">
        <v>34</v>
      </c>
      <c r="N384">
        <v>30</v>
      </c>
    </row>
    <row r="385" spans="9:14" x14ac:dyDescent="0.3">
      <c r="I385" t="s">
        <v>124</v>
      </c>
      <c r="J385" s="22">
        <v>42863</v>
      </c>
      <c r="K385" t="s">
        <v>281</v>
      </c>
      <c r="L385">
        <v>6141</v>
      </c>
      <c r="M385">
        <v>1</v>
      </c>
      <c r="N385">
        <v>0</v>
      </c>
    </row>
    <row r="386" spans="9:14" x14ac:dyDescent="0.3">
      <c r="I386" t="s">
        <v>124</v>
      </c>
      <c r="J386" s="22">
        <v>42864</v>
      </c>
      <c r="K386" t="s">
        <v>286</v>
      </c>
      <c r="L386">
        <v>6146</v>
      </c>
      <c r="M386">
        <v>2</v>
      </c>
      <c r="N386">
        <v>0</v>
      </c>
    </row>
    <row r="387" spans="9:14" x14ac:dyDescent="0.3">
      <c r="I387" t="s">
        <v>124</v>
      </c>
      <c r="J387" s="22">
        <v>42865</v>
      </c>
      <c r="K387" t="s">
        <v>288</v>
      </c>
      <c r="L387">
        <v>6148</v>
      </c>
      <c r="M387">
        <v>2</v>
      </c>
      <c r="N387">
        <v>0</v>
      </c>
    </row>
    <row r="388" spans="9:14" x14ac:dyDescent="0.3">
      <c r="I388" t="s">
        <v>124</v>
      </c>
      <c r="J388" s="22">
        <v>42865</v>
      </c>
      <c r="K388" t="s">
        <v>255</v>
      </c>
      <c r="L388">
        <v>6109</v>
      </c>
      <c r="M388">
        <v>602</v>
      </c>
      <c r="N388">
        <v>575</v>
      </c>
    </row>
    <row r="389" spans="9:14" x14ac:dyDescent="0.3">
      <c r="I389" t="s">
        <v>124</v>
      </c>
      <c r="J389" s="22">
        <v>42865</v>
      </c>
      <c r="K389" t="s">
        <v>274</v>
      </c>
      <c r="L389">
        <v>6124</v>
      </c>
      <c r="M389">
        <v>7</v>
      </c>
      <c r="N389">
        <v>7</v>
      </c>
    </row>
    <row r="390" spans="9:14" x14ac:dyDescent="0.3">
      <c r="I390" t="s">
        <v>124</v>
      </c>
      <c r="J390" s="22">
        <v>42864</v>
      </c>
      <c r="K390" t="s">
        <v>285</v>
      </c>
      <c r="L390">
        <v>6145</v>
      </c>
      <c r="M390">
        <v>2</v>
      </c>
      <c r="N390">
        <v>0</v>
      </c>
    </row>
    <row r="391" spans="9:14" x14ac:dyDescent="0.3">
      <c r="I391" t="s">
        <v>124</v>
      </c>
      <c r="J391" s="22">
        <v>42865</v>
      </c>
      <c r="K391" t="s">
        <v>293</v>
      </c>
      <c r="L391">
        <v>6222</v>
      </c>
      <c r="M391">
        <v>10</v>
      </c>
      <c r="N391">
        <v>0</v>
      </c>
    </row>
    <row r="392" spans="9:14" x14ac:dyDescent="0.3">
      <c r="I392" t="s">
        <v>124</v>
      </c>
      <c r="J392" s="22">
        <v>42865</v>
      </c>
      <c r="K392" t="s">
        <v>286</v>
      </c>
      <c r="L392">
        <v>6146</v>
      </c>
      <c r="M392">
        <v>2</v>
      </c>
      <c r="N392">
        <v>0</v>
      </c>
    </row>
    <row r="393" spans="9:14" x14ac:dyDescent="0.3">
      <c r="I393" t="s">
        <v>124</v>
      </c>
      <c r="J393" s="22">
        <v>42866</v>
      </c>
      <c r="K393" t="s">
        <v>268</v>
      </c>
      <c r="L393">
        <v>6106</v>
      </c>
      <c r="M393">
        <v>6714</v>
      </c>
      <c r="N393">
        <v>1568</v>
      </c>
    </row>
    <row r="394" spans="9:14" x14ac:dyDescent="0.3">
      <c r="I394" t="s">
        <v>124</v>
      </c>
      <c r="J394" s="22">
        <v>42867</v>
      </c>
      <c r="K394" t="s">
        <v>265</v>
      </c>
      <c r="L394">
        <v>6118</v>
      </c>
      <c r="M394">
        <v>37</v>
      </c>
      <c r="N394">
        <v>27</v>
      </c>
    </row>
    <row r="395" spans="9:14" x14ac:dyDescent="0.3">
      <c r="I395" t="s">
        <v>124</v>
      </c>
      <c r="J395" s="22">
        <v>42867</v>
      </c>
      <c r="K395" t="s">
        <v>263</v>
      </c>
      <c r="L395">
        <v>6120</v>
      </c>
      <c r="M395">
        <v>18</v>
      </c>
      <c r="N395">
        <v>10</v>
      </c>
    </row>
    <row r="396" spans="9:14" x14ac:dyDescent="0.3">
      <c r="I396" t="s">
        <v>124</v>
      </c>
      <c r="J396" s="22">
        <v>42867</v>
      </c>
      <c r="K396" t="s">
        <v>286</v>
      </c>
      <c r="L396">
        <v>6146</v>
      </c>
      <c r="M396">
        <v>4</v>
      </c>
      <c r="N396">
        <v>0</v>
      </c>
    </row>
    <row r="397" spans="9:14" x14ac:dyDescent="0.3">
      <c r="I397" t="s">
        <v>124</v>
      </c>
      <c r="J397" s="22">
        <v>42868</v>
      </c>
      <c r="K397" t="s">
        <v>278</v>
      </c>
      <c r="L397">
        <v>6132</v>
      </c>
      <c r="M397">
        <v>2</v>
      </c>
      <c r="N397">
        <v>0</v>
      </c>
    </row>
    <row r="398" spans="9:14" x14ac:dyDescent="0.3">
      <c r="I398" t="s">
        <v>124</v>
      </c>
      <c r="J398" s="22">
        <v>42885</v>
      </c>
      <c r="K398" t="s">
        <v>272</v>
      </c>
      <c r="L398">
        <v>6116</v>
      </c>
      <c r="M398">
        <v>231</v>
      </c>
      <c r="N398">
        <v>1</v>
      </c>
    </row>
    <row r="399" spans="9:14" x14ac:dyDescent="0.3">
      <c r="I399" t="s">
        <v>124</v>
      </c>
      <c r="J399" s="22">
        <v>42885</v>
      </c>
      <c r="K399" t="s">
        <v>261</v>
      </c>
      <c r="L399">
        <v>6117</v>
      </c>
      <c r="M399">
        <v>32</v>
      </c>
      <c r="N399">
        <v>31</v>
      </c>
    </row>
    <row r="400" spans="9:14" x14ac:dyDescent="0.3">
      <c r="I400" t="s">
        <v>124</v>
      </c>
      <c r="J400" s="22">
        <v>42885</v>
      </c>
      <c r="K400" t="s">
        <v>258</v>
      </c>
      <c r="L400">
        <v>6119</v>
      </c>
      <c r="M400">
        <v>120</v>
      </c>
      <c r="N400">
        <v>105</v>
      </c>
    </row>
    <row r="401" spans="9:14" x14ac:dyDescent="0.3">
      <c r="I401" t="s">
        <v>124</v>
      </c>
      <c r="J401" s="22">
        <v>42885</v>
      </c>
      <c r="K401" t="s">
        <v>274</v>
      </c>
      <c r="L401">
        <v>6124</v>
      </c>
      <c r="M401">
        <v>9</v>
      </c>
      <c r="N401">
        <v>9</v>
      </c>
    </row>
    <row r="402" spans="9:14" x14ac:dyDescent="0.3">
      <c r="I402" t="s">
        <v>124</v>
      </c>
      <c r="J402" s="22">
        <v>42885</v>
      </c>
      <c r="K402" t="s">
        <v>287</v>
      </c>
      <c r="L402">
        <v>6147</v>
      </c>
      <c r="M402">
        <v>5</v>
      </c>
      <c r="N402">
        <v>0</v>
      </c>
    </row>
    <row r="403" spans="9:14" x14ac:dyDescent="0.3">
      <c r="I403" t="s">
        <v>124</v>
      </c>
      <c r="J403" s="22">
        <v>42885</v>
      </c>
      <c r="K403" t="s">
        <v>290</v>
      </c>
      <c r="L403">
        <v>6150</v>
      </c>
      <c r="M403">
        <v>4</v>
      </c>
      <c r="N403">
        <v>0</v>
      </c>
    </row>
    <row r="404" spans="9:14" x14ac:dyDescent="0.3">
      <c r="I404" t="s">
        <v>124</v>
      </c>
      <c r="J404" s="22">
        <v>42885</v>
      </c>
      <c r="K404" t="s">
        <v>286</v>
      </c>
      <c r="L404">
        <v>6146</v>
      </c>
      <c r="M404">
        <v>3</v>
      </c>
      <c r="N404">
        <v>0</v>
      </c>
    </row>
    <row r="405" spans="9:14" x14ac:dyDescent="0.3">
      <c r="I405" t="s">
        <v>124</v>
      </c>
      <c r="J405" s="22">
        <v>42881</v>
      </c>
      <c r="K405" t="s">
        <v>292</v>
      </c>
      <c r="L405">
        <v>6221</v>
      </c>
      <c r="M405">
        <v>54</v>
      </c>
      <c r="N405">
        <v>0</v>
      </c>
    </row>
    <row r="406" spans="9:14" x14ac:dyDescent="0.3">
      <c r="I406" t="s">
        <v>124</v>
      </c>
      <c r="J406" s="22">
        <v>42886</v>
      </c>
      <c r="K406" t="s">
        <v>269</v>
      </c>
      <c r="L406">
        <v>6107</v>
      </c>
      <c r="M406">
        <v>584</v>
      </c>
      <c r="N406">
        <v>0</v>
      </c>
    </row>
    <row r="407" spans="9:14" x14ac:dyDescent="0.3">
      <c r="I407" t="s">
        <v>124</v>
      </c>
      <c r="J407" s="22">
        <v>42881</v>
      </c>
      <c r="K407" t="s">
        <v>329</v>
      </c>
      <c r="L407">
        <v>6587</v>
      </c>
      <c r="M407">
        <v>890</v>
      </c>
      <c r="N407">
        <v>208</v>
      </c>
    </row>
    <row r="408" spans="9:14" x14ac:dyDescent="0.3">
      <c r="I408" t="s">
        <v>124</v>
      </c>
      <c r="J408" s="22">
        <v>42881</v>
      </c>
      <c r="K408" t="s">
        <v>325</v>
      </c>
      <c r="L408">
        <v>6595</v>
      </c>
      <c r="M408">
        <v>47</v>
      </c>
      <c r="N408">
        <v>16</v>
      </c>
    </row>
    <row r="409" spans="9:14" x14ac:dyDescent="0.3">
      <c r="I409" t="s">
        <v>124</v>
      </c>
      <c r="J409" s="22">
        <v>42881</v>
      </c>
      <c r="K409" t="s">
        <v>321</v>
      </c>
      <c r="L409">
        <v>6596</v>
      </c>
      <c r="M409">
        <v>59</v>
      </c>
      <c r="N409">
        <v>10</v>
      </c>
    </row>
    <row r="410" spans="9:14" x14ac:dyDescent="0.3">
      <c r="I410" t="s">
        <v>124</v>
      </c>
      <c r="J410" s="22">
        <v>42881</v>
      </c>
      <c r="K410" t="s">
        <v>324</v>
      </c>
      <c r="L410">
        <v>6591</v>
      </c>
      <c r="M410">
        <v>5</v>
      </c>
      <c r="N410">
        <v>2</v>
      </c>
    </row>
    <row r="411" spans="9:14" x14ac:dyDescent="0.3">
      <c r="I411" t="s">
        <v>124</v>
      </c>
      <c r="J411" s="22">
        <v>42887</v>
      </c>
      <c r="K411" t="s">
        <v>277</v>
      </c>
      <c r="L411">
        <v>6127</v>
      </c>
      <c r="M411">
        <v>410</v>
      </c>
      <c r="N411">
        <v>3</v>
      </c>
    </row>
    <row r="412" spans="9:14" x14ac:dyDescent="0.3">
      <c r="I412" t="s">
        <v>124</v>
      </c>
      <c r="J412" s="22">
        <v>42887</v>
      </c>
      <c r="K412" t="s">
        <v>287</v>
      </c>
      <c r="L412">
        <v>6147</v>
      </c>
      <c r="M412">
        <v>3</v>
      </c>
      <c r="N412">
        <v>0</v>
      </c>
    </row>
    <row r="413" spans="9:14" x14ac:dyDescent="0.3">
      <c r="I413" t="s">
        <v>124</v>
      </c>
      <c r="J413" s="22">
        <v>42887</v>
      </c>
      <c r="K413" t="s">
        <v>330</v>
      </c>
      <c r="L413">
        <v>6594</v>
      </c>
      <c r="M413">
        <v>26</v>
      </c>
      <c r="N413">
        <v>6</v>
      </c>
    </row>
    <row r="414" spans="9:14" x14ac:dyDescent="0.3">
      <c r="I414" t="s">
        <v>124</v>
      </c>
      <c r="J414" s="22">
        <v>42881</v>
      </c>
      <c r="K414" t="s">
        <v>282</v>
      </c>
      <c r="L414">
        <v>6142</v>
      </c>
      <c r="M414">
        <v>2</v>
      </c>
      <c r="N414">
        <v>0</v>
      </c>
    </row>
    <row r="415" spans="9:14" x14ac:dyDescent="0.3">
      <c r="I415" t="s">
        <v>124</v>
      </c>
      <c r="J415" s="22">
        <v>42887</v>
      </c>
      <c r="K415" t="s">
        <v>256</v>
      </c>
      <c r="L415">
        <v>6113</v>
      </c>
      <c r="M415">
        <v>48</v>
      </c>
      <c r="N415">
        <v>47</v>
      </c>
    </row>
    <row r="416" spans="9:14" x14ac:dyDescent="0.3">
      <c r="I416" t="s">
        <v>124</v>
      </c>
      <c r="J416" s="22">
        <v>42888</v>
      </c>
      <c r="K416" t="s">
        <v>255</v>
      </c>
      <c r="L416">
        <v>6109</v>
      </c>
      <c r="M416">
        <v>682</v>
      </c>
      <c r="N416">
        <v>679</v>
      </c>
    </row>
    <row r="417" spans="9:14" x14ac:dyDescent="0.3">
      <c r="I417" t="s">
        <v>124</v>
      </c>
      <c r="J417" s="22">
        <v>42888</v>
      </c>
      <c r="K417" t="s">
        <v>331</v>
      </c>
      <c r="L417">
        <v>6597</v>
      </c>
      <c r="M417">
        <v>40</v>
      </c>
      <c r="N417">
        <v>5</v>
      </c>
    </row>
    <row r="418" spans="9:14" x14ac:dyDescent="0.3">
      <c r="I418" t="s">
        <v>124</v>
      </c>
      <c r="J418" s="22">
        <v>42888</v>
      </c>
      <c r="K418" t="s">
        <v>264</v>
      </c>
      <c r="L418">
        <v>6112</v>
      </c>
      <c r="M418">
        <v>6</v>
      </c>
      <c r="N418">
        <v>5</v>
      </c>
    </row>
    <row r="419" spans="9:14" x14ac:dyDescent="0.3">
      <c r="I419" t="s">
        <v>124</v>
      </c>
      <c r="J419" s="22">
        <v>42888</v>
      </c>
      <c r="K419" t="s">
        <v>283</v>
      </c>
      <c r="L419">
        <v>6143</v>
      </c>
      <c r="M419">
        <v>4</v>
      </c>
      <c r="N419">
        <v>0</v>
      </c>
    </row>
    <row r="420" spans="9:14" x14ac:dyDescent="0.3">
      <c r="I420" t="s">
        <v>124</v>
      </c>
      <c r="J420" s="22">
        <v>42886</v>
      </c>
      <c r="K420" t="s">
        <v>263</v>
      </c>
      <c r="L420">
        <v>6120</v>
      </c>
      <c r="M420">
        <v>32</v>
      </c>
      <c r="N420">
        <v>32</v>
      </c>
    </row>
    <row r="421" spans="9:14" x14ac:dyDescent="0.3">
      <c r="I421" t="s">
        <v>124</v>
      </c>
      <c r="J421" s="22">
        <v>42886</v>
      </c>
      <c r="K421" t="s">
        <v>274</v>
      </c>
      <c r="L421">
        <v>6124</v>
      </c>
      <c r="M421">
        <v>8</v>
      </c>
      <c r="N421">
        <v>8</v>
      </c>
    </row>
    <row r="422" spans="9:14" x14ac:dyDescent="0.3">
      <c r="I422" t="s">
        <v>124</v>
      </c>
      <c r="J422" s="22">
        <v>42886</v>
      </c>
      <c r="K422" t="s">
        <v>318</v>
      </c>
      <c r="L422">
        <v>6590</v>
      </c>
      <c r="M422">
        <v>18</v>
      </c>
      <c r="N422">
        <v>5</v>
      </c>
    </row>
    <row r="423" spans="9:14" x14ac:dyDescent="0.3">
      <c r="I423" t="s">
        <v>124</v>
      </c>
      <c r="J423" s="22">
        <v>42886</v>
      </c>
      <c r="K423" t="s">
        <v>254</v>
      </c>
      <c r="L423">
        <v>6133</v>
      </c>
      <c r="M423">
        <v>4</v>
      </c>
      <c r="N423">
        <v>4</v>
      </c>
    </row>
    <row r="424" spans="9:14" x14ac:dyDescent="0.3">
      <c r="I424" t="s">
        <v>124</v>
      </c>
      <c r="J424" s="22">
        <v>42886</v>
      </c>
      <c r="K424" t="s">
        <v>287</v>
      </c>
      <c r="L424">
        <v>6147</v>
      </c>
      <c r="M424">
        <v>3</v>
      </c>
      <c r="N424">
        <v>0</v>
      </c>
    </row>
    <row r="425" spans="9:14" x14ac:dyDescent="0.3">
      <c r="I425" t="s">
        <v>124</v>
      </c>
      <c r="J425" s="22">
        <v>42887</v>
      </c>
      <c r="K425" t="s">
        <v>259</v>
      </c>
      <c r="L425">
        <v>6122</v>
      </c>
      <c r="M425">
        <v>44</v>
      </c>
      <c r="N425">
        <v>44</v>
      </c>
    </row>
    <row r="426" spans="9:14" x14ac:dyDescent="0.3">
      <c r="I426" t="s">
        <v>124</v>
      </c>
      <c r="J426" s="22">
        <v>42887</v>
      </c>
      <c r="K426" t="s">
        <v>328</v>
      </c>
      <c r="L426">
        <v>6589</v>
      </c>
      <c r="M426">
        <v>30</v>
      </c>
      <c r="N426">
        <v>7</v>
      </c>
    </row>
    <row r="427" spans="9:14" x14ac:dyDescent="0.3">
      <c r="I427" t="s">
        <v>124</v>
      </c>
      <c r="J427" s="22">
        <v>42887</v>
      </c>
      <c r="K427" t="s">
        <v>270</v>
      </c>
      <c r="L427">
        <v>6110</v>
      </c>
      <c r="M427">
        <v>3</v>
      </c>
      <c r="N427">
        <v>3</v>
      </c>
    </row>
    <row r="428" spans="9:14" x14ac:dyDescent="0.3">
      <c r="I428" t="s">
        <v>124</v>
      </c>
      <c r="J428" s="22">
        <v>42888</v>
      </c>
      <c r="K428" t="s">
        <v>254</v>
      </c>
      <c r="L428">
        <v>6133</v>
      </c>
      <c r="M428">
        <v>1</v>
      </c>
      <c r="N428">
        <v>1</v>
      </c>
    </row>
    <row r="429" spans="9:14" x14ac:dyDescent="0.3">
      <c r="I429" t="s">
        <v>124</v>
      </c>
      <c r="J429" s="22">
        <v>42888</v>
      </c>
      <c r="K429" t="s">
        <v>324</v>
      </c>
      <c r="L429">
        <v>6591</v>
      </c>
      <c r="M429">
        <v>1</v>
      </c>
      <c r="N429">
        <v>0</v>
      </c>
    </row>
    <row r="430" spans="9:14" x14ac:dyDescent="0.3">
      <c r="I430" t="s">
        <v>124</v>
      </c>
      <c r="J430" s="22">
        <v>42887</v>
      </c>
      <c r="K430" t="s">
        <v>288</v>
      </c>
      <c r="L430">
        <v>6148</v>
      </c>
      <c r="M430">
        <v>2</v>
      </c>
      <c r="N430">
        <v>0</v>
      </c>
    </row>
    <row r="431" spans="9:14" x14ac:dyDescent="0.3">
      <c r="I431" t="s">
        <v>124</v>
      </c>
      <c r="J431" s="22">
        <v>42888</v>
      </c>
      <c r="K431" t="s">
        <v>284</v>
      </c>
      <c r="L431">
        <v>6144</v>
      </c>
      <c r="M431">
        <v>3</v>
      </c>
      <c r="N431">
        <v>0</v>
      </c>
    </row>
    <row r="432" spans="9:14" x14ac:dyDescent="0.3">
      <c r="I432" t="s">
        <v>124</v>
      </c>
      <c r="J432" s="22">
        <v>42888</v>
      </c>
      <c r="K432" t="s">
        <v>285</v>
      </c>
      <c r="L432">
        <v>6145</v>
      </c>
      <c r="M432">
        <v>2</v>
      </c>
      <c r="N432">
        <v>0</v>
      </c>
    </row>
    <row r="433" spans="9:14" x14ac:dyDescent="0.3">
      <c r="I433" t="s">
        <v>124</v>
      </c>
      <c r="J433" s="22">
        <v>42861</v>
      </c>
      <c r="K433" t="s">
        <v>285</v>
      </c>
      <c r="L433">
        <v>6145</v>
      </c>
      <c r="M433">
        <v>3</v>
      </c>
      <c r="N433">
        <v>0</v>
      </c>
    </row>
    <row r="434" spans="9:14" x14ac:dyDescent="0.3">
      <c r="I434" t="s">
        <v>124</v>
      </c>
      <c r="J434" s="22">
        <v>42856</v>
      </c>
      <c r="K434" t="s">
        <v>277</v>
      </c>
      <c r="L434">
        <v>6127</v>
      </c>
      <c r="M434">
        <v>562</v>
      </c>
      <c r="N434">
        <v>448</v>
      </c>
    </row>
    <row r="435" spans="9:14" x14ac:dyDescent="0.3">
      <c r="I435" t="s">
        <v>124</v>
      </c>
      <c r="J435" s="22">
        <v>42856</v>
      </c>
      <c r="K435" t="s">
        <v>262</v>
      </c>
      <c r="L435">
        <v>6121</v>
      </c>
      <c r="M435">
        <v>42</v>
      </c>
      <c r="N435">
        <v>27</v>
      </c>
    </row>
    <row r="436" spans="9:14" x14ac:dyDescent="0.3">
      <c r="I436" t="s">
        <v>124</v>
      </c>
      <c r="J436" s="22">
        <v>42856</v>
      </c>
      <c r="K436" t="s">
        <v>283</v>
      </c>
      <c r="L436">
        <v>6143</v>
      </c>
      <c r="M436">
        <v>2</v>
      </c>
      <c r="N436">
        <v>0</v>
      </c>
    </row>
    <row r="437" spans="9:14" x14ac:dyDescent="0.3">
      <c r="I437" t="s">
        <v>124</v>
      </c>
      <c r="J437" s="22">
        <v>42857</v>
      </c>
      <c r="K437" t="s">
        <v>278</v>
      </c>
      <c r="L437">
        <v>6132</v>
      </c>
      <c r="M437">
        <v>3</v>
      </c>
      <c r="N437">
        <v>0</v>
      </c>
    </row>
    <row r="438" spans="9:14" x14ac:dyDescent="0.3">
      <c r="I438" t="s">
        <v>124</v>
      </c>
      <c r="J438" s="22">
        <v>42857</v>
      </c>
      <c r="K438" t="s">
        <v>264</v>
      </c>
      <c r="L438">
        <v>6112</v>
      </c>
      <c r="M438">
        <v>7</v>
      </c>
      <c r="N438">
        <v>7</v>
      </c>
    </row>
    <row r="439" spans="9:14" x14ac:dyDescent="0.3">
      <c r="I439" t="s">
        <v>124</v>
      </c>
      <c r="J439" s="22">
        <v>42857</v>
      </c>
      <c r="K439" t="s">
        <v>261</v>
      </c>
      <c r="L439">
        <v>6117</v>
      </c>
      <c r="M439">
        <v>19</v>
      </c>
      <c r="N439">
        <v>19</v>
      </c>
    </row>
    <row r="440" spans="9:14" x14ac:dyDescent="0.3">
      <c r="I440" t="s">
        <v>124</v>
      </c>
      <c r="J440" s="22">
        <v>42857</v>
      </c>
      <c r="K440" t="s">
        <v>259</v>
      </c>
      <c r="L440">
        <v>6122</v>
      </c>
      <c r="M440">
        <v>32</v>
      </c>
      <c r="N440">
        <v>32</v>
      </c>
    </row>
    <row r="441" spans="9:14" x14ac:dyDescent="0.3">
      <c r="I441" t="s">
        <v>124</v>
      </c>
      <c r="J441" s="22">
        <v>42858</v>
      </c>
      <c r="K441" t="s">
        <v>268</v>
      </c>
      <c r="L441">
        <v>6106</v>
      </c>
      <c r="M441">
        <v>7829</v>
      </c>
      <c r="N441">
        <v>1987</v>
      </c>
    </row>
    <row r="442" spans="9:14" x14ac:dyDescent="0.3">
      <c r="I442" t="s">
        <v>124</v>
      </c>
      <c r="J442" s="22">
        <v>42858</v>
      </c>
      <c r="K442" t="s">
        <v>292</v>
      </c>
      <c r="L442">
        <v>6221</v>
      </c>
      <c r="M442">
        <v>54</v>
      </c>
      <c r="N442">
        <v>0</v>
      </c>
    </row>
    <row r="443" spans="9:14" x14ac:dyDescent="0.3">
      <c r="I443" t="s">
        <v>124</v>
      </c>
      <c r="J443" s="22">
        <v>42857</v>
      </c>
      <c r="K443" t="s">
        <v>289</v>
      </c>
      <c r="L443">
        <v>6149</v>
      </c>
      <c r="M443">
        <v>1</v>
      </c>
      <c r="N443">
        <v>0</v>
      </c>
    </row>
    <row r="444" spans="9:14" x14ac:dyDescent="0.3">
      <c r="I444" t="s">
        <v>124</v>
      </c>
      <c r="J444" s="22">
        <v>42858</v>
      </c>
      <c r="K444" t="s">
        <v>253</v>
      </c>
      <c r="L444">
        <v>6108</v>
      </c>
      <c r="M444">
        <v>4614</v>
      </c>
      <c r="N444">
        <v>4611</v>
      </c>
    </row>
    <row r="445" spans="9:14" x14ac:dyDescent="0.3">
      <c r="I445" t="s">
        <v>124</v>
      </c>
      <c r="J445" s="22">
        <v>42858</v>
      </c>
      <c r="K445" t="s">
        <v>261</v>
      </c>
      <c r="L445">
        <v>6117</v>
      </c>
      <c r="M445">
        <v>24</v>
      </c>
      <c r="N445">
        <v>24</v>
      </c>
    </row>
    <row r="446" spans="9:14" x14ac:dyDescent="0.3">
      <c r="I446" t="s">
        <v>124</v>
      </c>
      <c r="J446" s="22">
        <v>42858</v>
      </c>
      <c r="K446" t="s">
        <v>282</v>
      </c>
      <c r="L446">
        <v>6142</v>
      </c>
      <c r="M446">
        <v>1</v>
      </c>
      <c r="N446">
        <v>0</v>
      </c>
    </row>
    <row r="447" spans="9:14" x14ac:dyDescent="0.3">
      <c r="I447" t="s">
        <v>124</v>
      </c>
      <c r="J447" s="22">
        <v>42858</v>
      </c>
      <c r="K447" t="s">
        <v>270</v>
      </c>
      <c r="L447">
        <v>6110</v>
      </c>
      <c r="M447">
        <v>4</v>
      </c>
      <c r="N447">
        <v>4</v>
      </c>
    </row>
    <row r="448" spans="9:14" x14ac:dyDescent="0.3">
      <c r="I448" t="s">
        <v>124</v>
      </c>
      <c r="J448" s="22">
        <v>42877</v>
      </c>
      <c r="K448" t="s">
        <v>269</v>
      </c>
      <c r="L448">
        <v>6107</v>
      </c>
      <c r="M448">
        <v>536</v>
      </c>
      <c r="N448">
        <v>0</v>
      </c>
    </row>
    <row r="449" spans="9:14" x14ac:dyDescent="0.3">
      <c r="I449" t="s">
        <v>124</v>
      </c>
      <c r="J449" s="22">
        <v>42877</v>
      </c>
      <c r="K449" t="s">
        <v>322</v>
      </c>
      <c r="L449">
        <v>6586</v>
      </c>
      <c r="M449">
        <v>7540</v>
      </c>
      <c r="N449">
        <v>2292</v>
      </c>
    </row>
    <row r="450" spans="9:14" x14ac:dyDescent="0.3">
      <c r="I450" t="s">
        <v>124</v>
      </c>
      <c r="J450" s="22">
        <v>42877</v>
      </c>
      <c r="K450" t="s">
        <v>329</v>
      </c>
      <c r="L450">
        <v>6587</v>
      </c>
      <c r="M450">
        <v>1101</v>
      </c>
      <c r="N450">
        <v>334</v>
      </c>
    </row>
    <row r="451" spans="9:14" x14ac:dyDescent="0.3">
      <c r="I451" t="s">
        <v>124</v>
      </c>
      <c r="J451" s="22">
        <v>42877</v>
      </c>
      <c r="K451" t="s">
        <v>256</v>
      </c>
      <c r="L451">
        <v>6113</v>
      </c>
      <c r="M451">
        <v>54</v>
      </c>
      <c r="N451">
        <v>53</v>
      </c>
    </row>
    <row r="452" spans="9:14" x14ac:dyDescent="0.3">
      <c r="I452" t="s">
        <v>124</v>
      </c>
      <c r="J452" s="22">
        <v>42859</v>
      </c>
      <c r="K452" t="s">
        <v>268</v>
      </c>
      <c r="L452">
        <v>6106</v>
      </c>
      <c r="M452">
        <v>7183</v>
      </c>
      <c r="N452">
        <v>1680</v>
      </c>
    </row>
    <row r="453" spans="9:14" x14ac:dyDescent="0.3">
      <c r="I453" t="s">
        <v>124</v>
      </c>
      <c r="J453" s="22">
        <v>42877</v>
      </c>
      <c r="K453" t="s">
        <v>293</v>
      </c>
      <c r="L453">
        <v>6222</v>
      </c>
      <c r="M453">
        <v>13</v>
      </c>
      <c r="N453">
        <v>0</v>
      </c>
    </row>
    <row r="454" spans="9:14" x14ac:dyDescent="0.3">
      <c r="I454" t="s">
        <v>124</v>
      </c>
      <c r="J454" s="22">
        <v>42877</v>
      </c>
      <c r="K454" t="s">
        <v>273</v>
      </c>
      <c r="L454">
        <v>6123</v>
      </c>
      <c r="M454">
        <v>16</v>
      </c>
      <c r="N454">
        <v>15</v>
      </c>
    </row>
    <row r="455" spans="9:14" x14ac:dyDescent="0.3">
      <c r="I455" t="s">
        <v>124</v>
      </c>
      <c r="J455" s="22">
        <v>42877</v>
      </c>
      <c r="K455" t="s">
        <v>290</v>
      </c>
      <c r="L455">
        <v>6150</v>
      </c>
      <c r="M455">
        <v>1</v>
      </c>
      <c r="N455">
        <v>0</v>
      </c>
    </row>
    <row r="456" spans="9:14" x14ac:dyDescent="0.3">
      <c r="I456" t="s">
        <v>124</v>
      </c>
      <c r="J456" s="22">
        <v>42878</v>
      </c>
      <c r="K456" t="s">
        <v>268</v>
      </c>
      <c r="L456">
        <v>6106</v>
      </c>
      <c r="M456">
        <v>7447</v>
      </c>
      <c r="N456">
        <v>0</v>
      </c>
    </row>
    <row r="457" spans="9:14" x14ac:dyDescent="0.3">
      <c r="I457" t="s">
        <v>124</v>
      </c>
      <c r="J457" s="22">
        <v>42877</v>
      </c>
      <c r="K457" t="s">
        <v>281</v>
      </c>
      <c r="L457">
        <v>6141</v>
      </c>
      <c r="M457">
        <v>1</v>
      </c>
      <c r="N457">
        <v>0</v>
      </c>
    </row>
    <row r="458" spans="9:14" x14ac:dyDescent="0.3">
      <c r="I458" t="s">
        <v>124</v>
      </c>
      <c r="J458" s="22">
        <v>42859</v>
      </c>
      <c r="K458" t="s">
        <v>262</v>
      </c>
      <c r="L458">
        <v>6121</v>
      </c>
      <c r="M458">
        <v>20</v>
      </c>
      <c r="N458">
        <v>19</v>
      </c>
    </row>
    <row r="459" spans="9:14" x14ac:dyDescent="0.3">
      <c r="I459" t="s">
        <v>124</v>
      </c>
      <c r="J459" s="22">
        <v>42859</v>
      </c>
      <c r="K459" t="s">
        <v>255</v>
      </c>
      <c r="L459">
        <v>6109</v>
      </c>
      <c r="M459">
        <v>777</v>
      </c>
      <c r="N459">
        <v>775</v>
      </c>
    </row>
    <row r="460" spans="9:14" x14ac:dyDescent="0.3">
      <c r="I460" t="s">
        <v>124</v>
      </c>
      <c r="J460" s="22">
        <v>42859</v>
      </c>
      <c r="K460" t="s">
        <v>271</v>
      </c>
      <c r="L460">
        <v>6111</v>
      </c>
      <c r="M460">
        <v>3</v>
      </c>
      <c r="N460">
        <v>0</v>
      </c>
    </row>
    <row r="461" spans="9:14" x14ac:dyDescent="0.3">
      <c r="I461" t="s">
        <v>124</v>
      </c>
      <c r="J461" s="22">
        <v>42859</v>
      </c>
      <c r="K461" t="s">
        <v>279</v>
      </c>
      <c r="L461">
        <v>6139</v>
      </c>
      <c r="M461">
        <v>1</v>
      </c>
      <c r="N461">
        <v>0</v>
      </c>
    </row>
    <row r="462" spans="9:14" x14ac:dyDescent="0.3">
      <c r="I462" t="s">
        <v>124</v>
      </c>
      <c r="J462" s="22">
        <v>42860</v>
      </c>
      <c r="K462" t="s">
        <v>269</v>
      </c>
      <c r="L462">
        <v>6107</v>
      </c>
      <c r="M462">
        <v>420</v>
      </c>
      <c r="N462">
        <v>87</v>
      </c>
    </row>
    <row r="463" spans="9:14" x14ac:dyDescent="0.3">
      <c r="I463" t="s">
        <v>124</v>
      </c>
      <c r="J463" s="22">
        <v>42860</v>
      </c>
      <c r="K463" t="s">
        <v>270</v>
      </c>
      <c r="L463">
        <v>6110</v>
      </c>
      <c r="M463">
        <v>6</v>
      </c>
      <c r="N463">
        <v>6</v>
      </c>
    </row>
    <row r="464" spans="9:14" x14ac:dyDescent="0.3">
      <c r="I464" t="s">
        <v>124</v>
      </c>
      <c r="J464" s="22">
        <v>42860</v>
      </c>
      <c r="K464" t="s">
        <v>264</v>
      </c>
      <c r="L464">
        <v>6112</v>
      </c>
      <c r="M464">
        <v>2</v>
      </c>
      <c r="N464">
        <v>2</v>
      </c>
    </row>
    <row r="465" spans="9:14" x14ac:dyDescent="0.3">
      <c r="I465" t="s">
        <v>124</v>
      </c>
      <c r="J465" s="22">
        <v>42860</v>
      </c>
      <c r="K465" t="s">
        <v>258</v>
      </c>
      <c r="L465">
        <v>6119</v>
      </c>
      <c r="M465">
        <v>64</v>
      </c>
      <c r="N465">
        <v>63</v>
      </c>
    </row>
    <row r="466" spans="9:14" x14ac:dyDescent="0.3">
      <c r="I466" t="s">
        <v>124</v>
      </c>
      <c r="J466" s="22">
        <v>42860</v>
      </c>
      <c r="K466" t="s">
        <v>273</v>
      </c>
      <c r="L466">
        <v>6123</v>
      </c>
      <c r="M466">
        <v>25</v>
      </c>
      <c r="N466">
        <v>25</v>
      </c>
    </row>
    <row r="467" spans="9:14" x14ac:dyDescent="0.3">
      <c r="I467" t="s">
        <v>124</v>
      </c>
      <c r="J467" s="22">
        <v>42860</v>
      </c>
      <c r="K467" t="s">
        <v>293</v>
      </c>
      <c r="L467">
        <v>6222</v>
      </c>
      <c r="M467">
        <v>9</v>
      </c>
      <c r="N467">
        <v>0</v>
      </c>
    </row>
    <row r="468" spans="9:14" x14ac:dyDescent="0.3">
      <c r="I468" t="s">
        <v>124</v>
      </c>
      <c r="J468" s="22">
        <v>42878</v>
      </c>
      <c r="K468" t="s">
        <v>319</v>
      </c>
      <c r="L468">
        <v>6592</v>
      </c>
      <c r="M468">
        <v>18</v>
      </c>
      <c r="N468">
        <v>2</v>
      </c>
    </row>
    <row r="469" spans="9:14" x14ac:dyDescent="0.3">
      <c r="I469" t="s">
        <v>124</v>
      </c>
      <c r="J469" s="22">
        <v>42878</v>
      </c>
      <c r="K469" t="s">
        <v>272</v>
      </c>
      <c r="L469">
        <v>6116</v>
      </c>
      <c r="M469">
        <v>222</v>
      </c>
      <c r="N469">
        <v>0</v>
      </c>
    </row>
    <row r="470" spans="9:14" x14ac:dyDescent="0.3">
      <c r="I470" t="s">
        <v>124</v>
      </c>
      <c r="J470" s="22">
        <v>42876</v>
      </c>
      <c r="K470" t="s">
        <v>329</v>
      </c>
      <c r="L470">
        <v>6587</v>
      </c>
      <c r="M470">
        <v>13</v>
      </c>
      <c r="N470">
        <v>11</v>
      </c>
    </row>
    <row r="471" spans="9:14" x14ac:dyDescent="0.3">
      <c r="I471" t="s">
        <v>124</v>
      </c>
      <c r="J471" s="22">
        <v>42876</v>
      </c>
      <c r="K471" t="s">
        <v>319</v>
      </c>
      <c r="L471">
        <v>6592</v>
      </c>
      <c r="M471">
        <v>1</v>
      </c>
      <c r="N471">
        <v>0</v>
      </c>
    </row>
    <row r="472" spans="9:14" x14ac:dyDescent="0.3">
      <c r="I472" t="s">
        <v>124</v>
      </c>
      <c r="J472" s="22">
        <v>42876</v>
      </c>
      <c r="K472" t="s">
        <v>330</v>
      </c>
      <c r="L472">
        <v>6594</v>
      </c>
      <c r="M472">
        <v>1</v>
      </c>
      <c r="N472">
        <v>0</v>
      </c>
    </row>
    <row r="473" spans="9:14" x14ac:dyDescent="0.3">
      <c r="I473" t="s">
        <v>124</v>
      </c>
      <c r="J473" s="22">
        <v>42863</v>
      </c>
      <c r="K473" t="s">
        <v>269</v>
      </c>
      <c r="L473">
        <v>6107</v>
      </c>
      <c r="M473">
        <v>651</v>
      </c>
      <c r="N473">
        <v>146</v>
      </c>
    </row>
    <row r="474" spans="9:14" x14ac:dyDescent="0.3">
      <c r="I474" t="s">
        <v>124</v>
      </c>
      <c r="J474" s="22">
        <v>42878</v>
      </c>
      <c r="K474" t="s">
        <v>254</v>
      </c>
      <c r="L474">
        <v>6133</v>
      </c>
      <c r="M474">
        <v>1</v>
      </c>
      <c r="N474">
        <v>1</v>
      </c>
    </row>
    <row r="475" spans="9:14" x14ac:dyDescent="0.3">
      <c r="I475" t="s">
        <v>124</v>
      </c>
      <c r="J475" s="22">
        <v>42863</v>
      </c>
      <c r="K475" t="s">
        <v>273</v>
      </c>
      <c r="L475">
        <v>6123</v>
      </c>
      <c r="M475">
        <v>25</v>
      </c>
      <c r="N475">
        <v>25</v>
      </c>
    </row>
    <row r="476" spans="9:14" x14ac:dyDescent="0.3">
      <c r="I476" t="s">
        <v>124</v>
      </c>
      <c r="J476" s="22">
        <v>42863</v>
      </c>
      <c r="K476" t="s">
        <v>256</v>
      </c>
      <c r="L476">
        <v>6113</v>
      </c>
      <c r="M476">
        <v>59</v>
      </c>
      <c r="N476">
        <v>59</v>
      </c>
    </row>
    <row r="477" spans="9:14" x14ac:dyDescent="0.3">
      <c r="I477" t="s">
        <v>124</v>
      </c>
      <c r="J477" s="22">
        <v>42863</v>
      </c>
      <c r="K477" t="s">
        <v>287</v>
      </c>
      <c r="L477">
        <v>6147</v>
      </c>
      <c r="M477">
        <v>3</v>
      </c>
      <c r="N477">
        <v>0</v>
      </c>
    </row>
    <row r="478" spans="9:14" x14ac:dyDescent="0.3">
      <c r="I478" t="s">
        <v>124</v>
      </c>
      <c r="J478" s="22">
        <v>42864</v>
      </c>
      <c r="K478" t="s">
        <v>257</v>
      </c>
      <c r="L478">
        <v>6115</v>
      </c>
      <c r="M478">
        <v>55</v>
      </c>
      <c r="N478">
        <v>55</v>
      </c>
    </row>
    <row r="479" spans="9:14" x14ac:dyDescent="0.3">
      <c r="I479" t="s">
        <v>124</v>
      </c>
      <c r="J479" s="22">
        <v>42865</v>
      </c>
      <c r="K479" t="s">
        <v>277</v>
      </c>
      <c r="L479">
        <v>6127</v>
      </c>
      <c r="M479">
        <v>321</v>
      </c>
      <c r="N479">
        <v>258</v>
      </c>
    </row>
    <row r="480" spans="9:14" x14ac:dyDescent="0.3">
      <c r="I480" t="s">
        <v>124</v>
      </c>
      <c r="J480" s="22">
        <v>42865</v>
      </c>
      <c r="K480" t="s">
        <v>260</v>
      </c>
      <c r="L480">
        <v>6114</v>
      </c>
      <c r="M480">
        <v>50</v>
      </c>
      <c r="N480">
        <v>28</v>
      </c>
    </row>
    <row r="481" spans="9:14" x14ac:dyDescent="0.3">
      <c r="I481" t="s">
        <v>124</v>
      </c>
      <c r="J481" s="22">
        <v>42865</v>
      </c>
      <c r="K481" t="s">
        <v>278</v>
      </c>
      <c r="L481">
        <v>6132</v>
      </c>
      <c r="M481">
        <v>67</v>
      </c>
      <c r="N481">
        <v>1</v>
      </c>
    </row>
    <row r="482" spans="9:14" x14ac:dyDescent="0.3">
      <c r="I482" t="s">
        <v>124</v>
      </c>
      <c r="J482" s="22">
        <v>42865</v>
      </c>
      <c r="K482" t="s">
        <v>264</v>
      </c>
      <c r="L482">
        <v>6112</v>
      </c>
      <c r="M482">
        <v>6</v>
      </c>
      <c r="N482">
        <v>6</v>
      </c>
    </row>
    <row r="483" spans="9:14" x14ac:dyDescent="0.3">
      <c r="I483" t="s">
        <v>124</v>
      </c>
      <c r="J483" s="22">
        <v>42864</v>
      </c>
      <c r="K483" t="s">
        <v>284</v>
      </c>
      <c r="L483">
        <v>6144</v>
      </c>
      <c r="M483">
        <v>4</v>
      </c>
      <c r="N483">
        <v>0</v>
      </c>
    </row>
    <row r="484" spans="9:14" x14ac:dyDescent="0.3">
      <c r="I484" t="s">
        <v>124</v>
      </c>
      <c r="J484" s="22">
        <v>42866</v>
      </c>
      <c r="K484" t="s">
        <v>269</v>
      </c>
      <c r="L484">
        <v>6107</v>
      </c>
      <c r="M484">
        <v>413</v>
      </c>
      <c r="N484">
        <v>76</v>
      </c>
    </row>
    <row r="485" spans="9:14" x14ac:dyDescent="0.3">
      <c r="I485" t="s">
        <v>124</v>
      </c>
      <c r="J485" s="22">
        <v>42866</v>
      </c>
      <c r="K485" t="s">
        <v>259</v>
      </c>
      <c r="L485">
        <v>6122</v>
      </c>
      <c r="M485">
        <v>26</v>
      </c>
      <c r="N485">
        <v>26</v>
      </c>
    </row>
    <row r="486" spans="9:14" x14ac:dyDescent="0.3">
      <c r="I486" t="s">
        <v>124</v>
      </c>
      <c r="J486" s="22">
        <v>42866</v>
      </c>
      <c r="K486" t="s">
        <v>270</v>
      </c>
      <c r="L486">
        <v>6110</v>
      </c>
      <c r="M486">
        <v>2</v>
      </c>
      <c r="N486">
        <v>2</v>
      </c>
    </row>
    <row r="487" spans="9:14" x14ac:dyDescent="0.3">
      <c r="I487" t="s">
        <v>124</v>
      </c>
      <c r="J487" s="22">
        <v>42867</v>
      </c>
      <c r="K487" t="s">
        <v>276</v>
      </c>
      <c r="L487">
        <v>6126</v>
      </c>
      <c r="M487">
        <v>2</v>
      </c>
      <c r="N487">
        <v>0</v>
      </c>
    </row>
    <row r="488" spans="9:14" x14ac:dyDescent="0.3">
      <c r="I488" t="s">
        <v>124</v>
      </c>
      <c r="J488" s="22">
        <v>42867</v>
      </c>
      <c r="K488" t="s">
        <v>270</v>
      </c>
      <c r="L488">
        <v>6110</v>
      </c>
      <c r="M488">
        <v>7</v>
      </c>
      <c r="N488">
        <v>4</v>
      </c>
    </row>
    <row r="489" spans="9:14" x14ac:dyDescent="0.3">
      <c r="I489" t="s">
        <v>124</v>
      </c>
      <c r="J489" s="22">
        <v>42867</v>
      </c>
      <c r="K489" t="s">
        <v>261</v>
      </c>
      <c r="L489">
        <v>6117</v>
      </c>
      <c r="M489">
        <v>32</v>
      </c>
      <c r="N489">
        <v>24</v>
      </c>
    </row>
    <row r="490" spans="9:14" x14ac:dyDescent="0.3">
      <c r="I490" t="s">
        <v>124</v>
      </c>
      <c r="J490" s="22">
        <v>42867</v>
      </c>
      <c r="K490" t="s">
        <v>294</v>
      </c>
      <c r="L490">
        <v>6223</v>
      </c>
      <c r="M490">
        <v>1</v>
      </c>
      <c r="N490">
        <v>0</v>
      </c>
    </row>
    <row r="491" spans="9:14" x14ac:dyDescent="0.3">
      <c r="I491" t="s">
        <v>124</v>
      </c>
      <c r="J491" s="22">
        <v>42867</v>
      </c>
      <c r="K491" t="s">
        <v>271</v>
      </c>
      <c r="L491">
        <v>6111</v>
      </c>
      <c r="M491">
        <v>1</v>
      </c>
      <c r="N491">
        <v>0</v>
      </c>
    </row>
    <row r="492" spans="9:14" x14ac:dyDescent="0.3">
      <c r="I492" t="s">
        <v>124</v>
      </c>
      <c r="J492" s="22">
        <v>42868</v>
      </c>
      <c r="K492" t="s">
        <v>277</v>
      </c>
      <c r="L492">
        <v>6127</v>
      </c>
      <c r="M492">
        <v>15</v>
      </c>
      <c r="N492">
        <v>9</v>
      </c>
    </row>
    <row r="493" spans="9:14" x14ac:dyDescent="0.3">
      <c r="I493" t="s">
        <v>124</v>
      </c>
      <c r="J493" s="22">
        <v>42868</v>
      </c>
      <c r="K493" t="s">
        <v>293</v>
      </c>
      <c r="L493">
        <v>6222</v>
      </c>
      <c r="M493">
        <v>1</v>
      </c>
      <c r="N493">
        <v>0</v>
      </c>
    </row>
    <row r="494" spans="9:14" x14ac:dyDescent="0.3">
      <c r="I494" t="s">
        <v>124</v>
      </c>
      <c r="J494" s="22">
        <v>42885</v>
      </c>
      <c r="K494" t="s">
        <v>322</v>
      </c>
      <c r="L494">
        <v>6586</v>
      </c>
      <c r="M494">
        <v>8310</v>
      </c>
      <c r="N494">
        <v>2374</v>
      </c>
    </row>
    <row r="495" spans="9:14" x14ac:dyDescent="0.3">
      <c r="I495" t="s">
        <v>124</v>
      </c>
      <c r="J495" s="22">
        <v>42885</v>
      </c>
      <c r="K495" t="s">
        <v>318</v>
      </c>
      <c r="L495">
        <v>6590</v>
      </c>
      <c r="M495">
        <v>50</v>
      </c>
      <c r="N495">
        <v>20</v>
      </c>
    </row>
    <row r="496" spans="9:14" x14ac:dyDescent="0.3">
      <c r="I496" t="s">
        <v>124</v>
      </c>
      <c r="J496" s="22">
        <v>42885</v>
      </c>
      <c r="K496" t="s">
        <v>325</v>
      </c>
      <c r="L496">
        <v>6595</v>
      </c>
      <c r="M496">
        <v>89</v>
      </c>
      <c r="N496">
        <v>21</v>
      </c>
    </row>
    <row r="497" spans="9:14" x14ac:dyDescent="0.3">
      <c r="I497" t="s">
        <v>124</v>
      </c>
      <c r="J497" s="22">
        <v>42885</v>
      </c>
      <c r="K497" t="s">
        <v>253</v>
      </c>
      <c r="L497">
        <v>6108</v>
      </c>
      <c r="M497">
        <v>5749</v>
      </c>
      <c r="N497">
        <v>5684</v>
      </c>
    </row>
    <row r="498" spans="9:14" x14ac:dyDescent="0.3">
      <c r="I498" t="s">
        <v>124</v>
      </c>
      <c r="J498" s="22">
        <v>42885</v>
      </c>
      <c r="K498" t="s">
        <v>255</v>
      </c>
      <c r="L498">
        <v>6109</v>
      </c>
      <c r="M498">
        <v>1032</v>
      </c>
      <c r="N498">
        <v>928</v>
      </c>
    </row>
    <row r="499" spans="9:14" x14ac:dyDescent="0.3">
      <c r="I499" t="s">
        <v>124</v>
      </c>
      <c r="J499" s="22">
        <v>42885</v>
      </c>
      <c r="K499" t="s">
        <v>264</v>
      </c>
      <c r="L499">
        <v>6112</v>
      </c>
      <c r="M499">
        <v>6</v>
      </c>
      <c r="N499">
        <v>6</v>
      </c>
    </row>
    <row r="500" spans="9:14" x14ac:dyDescent="0.3">
      <c r="I500" t="s">
        <v>124</v>
      </c>
      <c r="J500" s="22">
        <v>42885</v>
      </c>
      <c r="K500" t="s">
        <v>256</v>
      </c>
      <c r="L500">
        <v>6113</v>
      </c>
      <c r="M500">
        <v>87</v>
      </c>
      <c r="N500">
        <v>82</v>
      </c>
    </row>
    <row r="501" spans="9:14" x14ac:dyDescent="0.3">
      <c r="I501" t="s">
        <v>124</v>
      </c>
      <c r="J501" s="22">
        <v>42885</v>
      </c>
      <c r="K501" t="s">
        <v>260</v>
      </c>
      <c r="L501">
        <v>6114</v>
      </c>
      <c r="M501">
        <v>64</v>
      </c>
      <c r="N501">
        <v>29</v>
      </c>
    </row>
    <row r="502" spans="9:14" x14ac:dyDescent="0.3">
      <c r="I502" t="s">
        <v>124</v>
      </c>
      <c r="J502" s="22">
        <v>42885</v>
      </c>
      <c r="K502" t="s">
        <v>263</v>
      </c>
      <c r="L502">
        <v>6120</v>
      </c>
      <c r="M502">
        <v>40</v>
      </c>
      <c r="N502">
        <v>33</v>
      </c>
    </row>
    <row r="503" spans="9:14" x14ac:dyDescent="0.3">
      <c r="I503" t="s">
        <v>124</v>
      </c>
      <c r="J503" s="22">
        <v>42885</v>
      </c>
      <c r="K503" t="s">
        <v>288</v>
      </c>
      <c r="L503">
        <v>6148</v>
      </c>
      <c r="M503">
        <v>1</v>
      </c>
      <c r="N503">
        <v>0</v>
      </c>
    </row>
    <row r="504" spans="9:14" x14ac:dyDescent="0.3">
      <c r="I504" t="s">
        <v>124</v>
      </c>
      <c r="J504" s="22">
        <v>42885</v>
      </c>
      <c r="K504" t="s">
        <v>282</v>
      </c>
      <c r="L504">
        <v>6142</v>
      </c>
      <c r="M504">
        <v>2</v>
      </c>
      <c r="N504">
        <v>0</v>
      </c>
    </row>
    <row r="505" spans="9:14" x14ac:dyDescent="0.3">
      <c r="I505" t="s">
        <v>124</v>
      </c>
      <c r="J505" s="22">
        <v>42886</v>
      </c>
      <c r="K505" t="s">
        <v>327</v>
      </c>
      <c r="L505">
        <v>6593</v>
      </c>
      <c r="M505">
        <v>117</v>
      </c>
      <c r="N505">
        <v>21</v>
      </c>
    </row>
    <row r="506" spans="9:14" x14ac:dyDescent="0.3">
      <c r="I506" t="s">
        <v>124</v>
      </c>
      <c r="J506" s="22">
        <v>42881</v>
      </c>
      <c r="K506" t="s">
        <v>319</v>
      </c>
      <c r="L506">
        <v>6592</v>
      </c>
      <c r="M506">
        <v>23</v>
      </c>
      <c r="N506">
        <v>4</v>
      </c>
    </row>
    <row r="507" spans="9:14" x14ac:dyDescent="0.3">
      <c r="I507" t="s">
        <v>124</v>
      </c>
      <c r="J507" s="22">
        <v>42881</v>
      </c>
      <c r="K507" t="s">
        <v>261</v>
      </c>
      <c r="L507">
        <v>6117</v>
      </c>
      <c r="M507">
        <v>23</v>
      </c>
      <c r="N507">
        <v>23</v>
      </c>
    </row>
    <row r="508" spans="9:14" x14ac:dyDescent="0.3">
      <c r="I508" t="s">
        <v>124</v>
      </c>
      <c r="J508" s="22">
        <v>42881</v>
      </c>
      <c r="K508" t="s">
        <v>257</v>
      </c>
      <c r="L508">
        <v>6115</v>
      </c>
      <c r="M508">
        <v>54</v>
      </c>
      <c r="N508">
        <v>43</v>
      </c>
    </row>
    <row r="509" spans="9:14" x14ac:dyDescent="0.3">
      <c r="I509" t="s">
        <v>124</v>
      </c>
      <c r="J509" s="22">
        <v>42881</v>
      </c>
      <c r="K509" t="s">
        <v>271</v>
      </c>
      <c r="L509">
        <v>6111</v>
      </c>
      <c r="M509">
        <v>1</v>
      </c>
      <c r="N509">
        <v>0</v>
      </c>
    </row>
    <row r="510" spans="9:14" x14ac:dyDescent="0.3">
      <c r="I510" t="s">
        <v>124</v>
      </c>
      <c r="J510" s="22">
        <v>42886</v>
      </c>
      <c r="K510" t="s">
        <v>329</v>
      </c>
      <c r="L510">
        <v>6587</v>
      </c>
      <c r="M510">
        <v>1022</v>
      </c>
      <c r="N510">
        <v>273</v>
      </c>
    </row>
    <row r="511" spans="9:14" x14ac:dyDescent="0.3">
      <c r="I511" t="s">
        <v>124</v>
      </c>
      <c r="J511" s="22">
        <v>42886</v>
      </c>
      <c r="K511" t="s">
        <v>293</v>
      </c>
      <c r="L511">
        <v>6222</v>
      </c>
      <c r="M511">
        <v>7</v>
      </c>
      <c r="N511">
        <v>0</v>
      </c>
    </row>
    <row r="512" spans="9:14" x14ac:dyDescent="0.3">
      <c r="I512" t="s">
        <v>124</v>
      </c>
      <c r="J512" s="22">
        <v>42887</v>
      </c>
      <c r="K512" t="s">
        <v>268</v>
      </c>
      <c r="L512">
        <v>6106</v>
      </c>
      <c r="M512">
        <v>8337</v>
      </c>
      <c r="N512">
        <v>0</v>
      </c>
    </row>
    <row r="513" spans="9:14" x14ac:dyDescent="0.3">
      <c r="I513" t="s">
        <v>124</v>
      </c>
      <c r="J513" s="22">
        <v>42881</v>
      </c>
      <c r="K513" t="s">
        <v>278</v>
      </c>
      <c r="L513">
        <v>6132</v>
      </c>
      <c r="M513">
        <v>1</v>
      </c>
      <c r="N513">
        <v>0</v>
      </c>
    </row>
    <row r="514" spans="9:14" x14ac:dyDescent="0.3">
      <c r="I514" t="s">
        <v>124</v>
      </c>
      <c r="J514" s="22">
        <v>42888</v>
      </c>
      <c r="K514" t="s">
        <v>260</v>
      </c>
      <c r="L514">
        <v>6114</v>
      </c>
      <c r="M514">
        <v>40</v>
      </c>
      <c r="N514">
        <v>37</v>
      </c>
    </row>
    <row r="515" spans="9:14" x14ac:dyDescent="0.3">
      <c r="I515" t="s">
        <v>124</v>
      </c>
      <c r="J515" s="22">
        <v>42888</v>
      </c>
      <c r="K515" t="s">
        <v>257</v>
      </c>
      <c r="L515">
        <v>6115</v>
      </c>
      <c r="M515">
        <v>39</v>
      </c>
      <c r="N515">
        <v>38</v>
      </c>
    </row>
    <row r="516" spans="9:14" x14ac:dyDescent="0.3">
      <c r="I516" t="s">
        <v>124</v>
      </c>
      <c r="J516" s="22">
        <v>42888</v>
      </c>
      <c r="K516" t="s">
        <v>258</v>
      </c>
      <c r="L516">
        <v>6119</v>
      </c>
      <c r="M516">
        <v>79</v>
      </c>
      <c r="N516">
        <v>77</v>
      </c>
    </row>
    <row r="517" spans="9:14" x14ac:dyDescent="0.3">
      <c r="I517" t="s">
        <v>124</v>
      </c>
      <c r="J517" s="22">
        <v>42888</v>
      </c>
      <c r="K517" t="s">
        <v>319</v>
      </c>
      <c r="L517">
        <v>6592</v>
      </c>
      <c r="M517">
        <v>36</v>
      </c>
      <c r="N517">
        <v>12</v>
      </c>
    </row>
    <row r="518" spans="9:14" x14ac:dyDescent="0.3">
      <c r="I518" t="s">
        <v>124</v>
      </c>
      <c r="J518" s="22">
        <v>42888</v>
      </c>
      <c r="K518" t="s">
        <v>321</v>
      </c>
      <c r="L518">
        <v>6596</v>
      </c>
      <c r="M518">
        <v>59</v>
      </c>
      <c r="N518">
        <v>15</v>
      </c>
    </row>
    <row r="519" spans="9:14" x14ac:dyDescent="0.3">
      <c r="I519" t="s">
        <v>124</v>
      </c>
      <c r="J519" s="22">
        <v>42888</v>
      </c>
      <c r="K519" t="s">
        <v>274</v>
      </c>
      <c r="L519">
        <v>6124</v>
      </c>
      <c r="M519">
        <v>19</v>
      </c>
      <c r="N519">
        <v>19</v>
      </c>
    </row>
    <row r="520" spans="9:14" x14ac:dyDescent="0.3">
      <c r="I520" t="s">
        <v>124</v>
      </c>
      <c r="J520" s="22">
        <v>42888</v>
      </c>
      <c r="K520" t="s">
        <v>289</v>
      </c>
      <c r="L520">
        <v>6149</v>
      </c>
      <c r="M520">
        <v>1</v>
      </c>
      <c r="N520">
        <v>0</v>
      </c>
    </row>
    <row r="521" spans="9:14" x14ac:dyDescent="0.3">
      <c r="I521" t="s">
        <v>124</v>
      </c>
      <c r="J521" s="22">
        <v>42888</v>
      </c>
      <c r="K521" t="s">
        <v>291</v>
      </c>
      <c r="L521">
        <v>6152</v>
      </c>
      <c r="M521">
        <v>1</v>
      </c>
      <c r="N521">
        <v>0</v>
      </c>
    </row>
    <row r="522" spans="9:14" x14ac:dyDescent="0.3">
      <c r="I522" t="s">
        <v>124</v>
      </c>
      <c r="J522" s="22">
        <v>42886</v>
      </c>
      <c r="K522" t="s">
        <v>319</v>
      </c>
      <c r="L522">
        <v>6592</v>
      </c>
      <c r="M522">
        <v>36</v>
      </c>
      <c r="N522">
        <v>10</v>
      </c>
    </row>
    <row r="523" spans="9:14" x14ac:dyDescent="0.3">
      <c r="I523" t="s">
        <v>124</v>
      </c>
      <c r="J523" s="22">
        <v>42886</v>
      </c>
      <c r="K523" t="s">
        <v>321</v>
      </c>
      <c r="L523">
        <v>6596</v>
      </c>
      <c r="M523">
        <v>93</v>
      </c>
      <c r="N523">
        <v>19</v>
      </c>
    </row>
    <row r="524" spans="9:14" x14ac:dyDescent="0.3">
      <c r="I524" t="s">
        <v>124</v>
      </c>
      <c r="J524" s="22">
        <v>42886</v>
      </c>
      <c r="K524" t="s">
        <v>273</v>
      </c>
      <c r="L524">
        <v>6123</v>
      </c>
      <c r="M524">
        <v>18</v>
      </c>
      <c r="N524">
        <v>18</v>
      </c>
    </row>
    <row r="525" spans="9:14" x14ac:dyDescent="0.3">
      <c r="I525" t="s">
        <v>124</v>
      </c>
      <c r="J525" s="22">
        <v>42886</v>
      </c>
      <c r="K525" t="s">
        <v>324</v>
      </c>
      <c r="L525">
        <v>6591</v>
      </c>
      <c r="M525">
        <v>8</v>
      </c>
      <c r="N525">
        <v>1</v>
      </c>
    </row>
    <row r="526" spans="9:14" x14ac:dyDescent="0.3">
      <c r="I526" t="s">
        <v>124</v>
      </c>
      <c r="J526" s="22">
        <v>42886</v>
      </c>
      <c r="K526" t="s">
        <v>270</v>
      </c>
      <c r="L526">
        <v>6110</v>
      </c>
      <c r="M526">
        <v>7</v>
      </c>
      <c r="N526">
        <v>7</v>
      </c>
    </row>
    <row r="527" spans="9:14" x14ac:dyDescent="0.3">
      <c r="I527" t="s">
        <v>124</v>
      </c>
      <c r="J527" s="22">
        <v>42886</v>
      </c>
      <c r="K527" t="s">
        <v>261</v>
      </c>
      <c r="L527">
        <v>6117</v>
      </c>
      <c r="M527">
        <v>16</v>
      </c>
      <c r="N527">
        <v>15</v>
      </c>
    </row>
    <row r="528" spans="9:14" x14ac:dyDescent="0.3">
      <c r="I528" t="s">
        <v>124</v>
      </c>
      <c r="J528" s="22">
        <v>42887</v>
      </c>
      <c r="K528" t="s">
        <v>284</v>
      </c>
      <c r="L528">
        <v>6144</v>
      </c>
      <c r="M528">
        <v>2</v>
      </c>
      <c r="N528">
        <v>0</v>
      </c>
    </row>
    <row r="529" spans="9:14" x14ac:dyDescent="0.3">
      <c r="I529" t="s">
        <v>124</v>
      </c>
      <c r="J529" s="22">
        <v>42889</v>
      </c>
      <c r="K529" t="s">
        <v>268</v>
      </c>
      <c r="L529">
        <v>6106</v>
      </c>
      <c r="M529">
        <v>16</v>
      </c>
      <c r="N529">
        <v>0</v>
      </c>
    </row>
    <row r="530" spans="9:14" x14ac:dyDescent="0.3">
      <c r="I530" t="s">
        <v>124</v>
      </c>
      <c r="J530" s="22">
        <v>42861</v>
      </c>
      <c r="K530" t="s">
        <v>269</v>
      </c>
      <c r="L530">
        <v>6107</v>
      </c>
      <c r="M530">
        <v>39</v>
      </c>
      <c r="N530">
        <v>0</v>
      </c>
    </row>
    <row r="531" spans="9:14" x14ac:dyDescent="0.3">
      <c r="I531" t="s">
        <v>124</v>
      </c>
      <c r="J531" s="22">
        <v>42861</v>
      </c>
      <c r="K531" t="s">
        <v>289</v>
      </c>
      <c r="L531">
        <v>6149</v>
      </c>
      <c r="M531">
        <v>1</v>
      </c>
      <c r="N531">
        <v>0</v>
      </c>
    </row>
    <row r="532" spans="9:14" x14ac:dyDescent="0.3">
      <c r="I532" t="s">
        <v>124</v>
      </c>
      <c r="J532" s="22">
        <v>42889</v>
      </c>
      <c r="K532" t="s">
        <v>329</v>
      </c>
      <c r="L532">
        <v>6587</v>
      </c>
      <c r="M532">
        <v>1</v>
      </c>
      <c r="N532">
        <v>0</v>
      </c>
    </row>
    <row r="533" spans="9:14" x14ac:dyDescent="0.3">
      <c r="I533" t="s">
        <v>124</v>
      </c>
      <c r="J533" s="22">
        <v>42856</v>
      </c>
      <c r="K533" t="s">
        <v>276</v>
      </c>
      <c r="L533">
        <v>6126</v>
      </c>
      <c r="M533">
        <v>3</v>
      </c>
      <c r="N533">
        <v>0</v>
      </c>
    </row>
    <row r="534" spans="9:14" x14ac:dyDescent="0.3">
      <c r="I534" t="s">
        <v>124</v>
      </c>
      <c r="J534" s="22">
        <v>42856</v>
      </c>
      <c r="K534" t="s">
        <v>286</v>
      </c>
      <c r="L534">
        <v>6146</v>
      </c>
      <c r="M534">
        <v>2</v>
      </c>
      <c r="N534">
        <v>0</v>
      </c>
    </row>
    <row r="535" spans="9:14" x14ac:dyDescent="0.3">
      <c r="I535" t="s">
        <v>124</v>
      </c>
      <c r="J535" s="22">
        <v>42856</v>
      </c>
      <c r="K535" t="s">
        <v>255</v>
      </c>
      <c r="L535">
        <v>6109</v>
      </c>
      <c r="M535">
        <v>1128</v>
      </c>
      <c r="N535">
        <v>977</v>
      </c>
    </row>
    <row r="536" spans="9:14" x14ac:dyDescent="0.3">
      <c r="I536" t="s">
        <v>124</v>
      </c>
      <c r="J536" s="22">
        <v>42856</v>
      </c>
      <c r="K536" t="s">
        <v>257</v>
      </c>
      <c r="L536">
        <v>6115</v>
      </c>
      <c r="M536">
        <v>82</v>
      </c>
      <c r="N536">
        <v>68</v>
      </c>
    </row>
    <row r="537" spans="9:14" x14ac:dyDescent="0.3">
      <c r="I537" t="s">
        <v>124</v>
      </c>
      <c r="J537" s="22">
        <v>42856</v>
      </c>
      <c r="K537" t="s">
        <v>263</v>
      </c>
      <c r="L537">
        <v>6120</v>
      </c>
      <c r="M537">
        <v>30</v>
      </c>
      <c r="N537">
        <v>28</v>
      </c>
    </row>
    <row r="538" spans="9:14" x14ac:dyDescent="0.3">
      <c r="I538" t="s">
        <v>124</v>
      </c>
      <c r="J538" s="22">
        <v>42856</v>
      </c>
      <c r="K538" t="s">
        <v>259</v>
      </c>
      <c r="L538">
        <v>6122</v>
      </c>
      <c r="M538">
        <v>26</v>
      </c>
      <c r="N538">
        <v>21</v>
      </c>
    </row>
    <row r="539" spans="9:14" x14ac:dyDescent="0.3">
      <c r="I539" t="s">
        <v>124</v>
      </c>
      <c r="J539" s="22">
        <v>42856</v>
      </c>
      <c r="K539" t="s">
        <v>290</v>
      </c>
      <c r="L539">
        <v>6150</v>
      </c>
      <c r="M539">
        <v>3</v>
      </c>
      <c r="N539">
        <v>0</v>
      </c>
    </row>
    <row r="540" spans="9:14" x14ac:dyDescent="0.3">
      <c r="I540" t="s">
        <v>124</v>
      </c>
      <c r="J540" s="22">
        <v>42857</v>
      </c>
      <c r="K540" t="s">
        <v>272</v>
      </c>
      <c r="L540">
        <v>6116</v>
      </c>
      <c r="M540">
        <v>302</v>
      </c>
      <c r="N540">
        <v>1</v>
      </c>
    </row>
    <row r="541" spans="9:14" x14ac:dyDescent="0.3">
      <c r="I541" t="s">
        <v>124</v>
      </c>
      <c r="J541" s="22">
        <v>42857</v>
      </c>
      <c r="K541" t="s">
        <v>284</v>
      </c>
      <c r="L541">
        <v>6144</v>
      </c>
      <c r="M541">
        <v>1</v>
      </c>
      <c r="N541">
        <v>0</v>
      </c>
    </row>
    <row r="542" spans="9:14" x14ac:dyDescent="0.3">
      <c r="I542" t="s">
        <v>124</v>
      </c>
      <c r="J542" s="22">
        <v>42858</v>
      </c>
      <c r="K542" t="s">
        <v>269</v>
      </c>
      <c r="L542">
        <v>6107</v>
      </c>
      <c r="M542">
        <v>473</v>
      </c>
      <c r="N542">
        <v>98</v>
      </c>
    </row>
    <row r="543" spans="9:14" x14ac:dyDescent="0.3">
      <c r="I543" t="s">
        <v>124</v>
      </c>
      <c r="J543" s="22">
        <v>42877</v>
      </c>
      <c r="K543" t="s">
        <v>282</v>
      </c>
      <c r="L543">
        <v>6142</v>
      </c>
      <c r="M543">
        <v>3</v>
      </c>
      <c r="N543">
        <v>0</v>
      </c>
    </row>
    <row r="544" spans="9:14" x14ac:dyDescent="0.3">
      <c r="I544" t="s">
        <v>124</v>
      </c>
      <c r="J544" s="22">
        <v>42877</v>
      </c>
      <c r="K544" t="s">
        <v>321</v>
      </c>
      <c r="L544">
        <v>6596</v>
      </c>
      <c r="M544">
        <v>69</v>
      </c>
      <c r="N544">
        <v>19</v>
      </c>
    </row>
    <row r="545" spans="9:14" x14ac:dyDescent="0.3">
      <c r="I545" t="s">
        <v>124</v>
      </c>
      <c r="J545" s="22">
        <v>42877</v>
      </c>
      <c r="K545" t="s">
        <v>292</v>
      </c>
      <c r="L545">
        <v>6221</v>
      </c>
      <c r="M545">
        <v>68</v>
      </c>
      <c r="N545">
        <v>0</v>
      </c>
    </row>
    <row r="546" spans="9:14" x14ac:dyDescent="0.3">
      <c r="I546" t="s">
        <v>124</v>
      </c>
      <c r="J546" s="22">
        <v>42877</v>
      </c>
      <c r="K546" t="s">
        <v>330</v>
      </c>
      <c r="L546">
        <v>6594</v>
      </c>
      <c r="M546">
        <v>45</v>
      </c>
      <c r="N546">
        <v>8</v>
      </c>
    </row>
    <row r="547" spans="9:14" x14ac:dyDescent="0.3">
      <c r="I547" t="s">
        <v>124</v>
      </c>
      <c r="J547" s="22">
        <v>42877</v>
      </c>
      <c r="K547" t="s">
        <v>331</v>
      </c>
      <c r="L547">
        <v>6597</v>
      </c>
      <c r="M547">
        <v>67</v>
      </c>
      <c r="N547">
        <v>16</v>
      </c>
    </row>
    <row r="548" spans="9:14" x14ac:dyDescent="0.3">
      <c r="I548" t="s">
        <v>124</v>
      </c>
      <c r="J548" s="22">
        <v>42877</v>
      </c>
      <c r="K548" t="s">
        <v>263</v>
      </c>
      <c r="L548">
        <v>6120</v>
      </c>
      <c r="M548">
        <v>40</v>
      </c>
      <c r="N548">
        <v>34</v>
      </c>
    </row>
    <row r="549" spans="9:14" x14ac:dyDescent="0.3">
      <c r="I549" t="s">
        <v>124</v>
      </c>
      <c r="J549" s="22">
        <v>42859</v>
      </c>
      <c r="K549" t="s">
        <v>269</v>
      </c>
      <c r="L549">
        <v>6107</v>
      </c>
      <c r="M549">
        <v>441</v>
      </c>
      <c r="N549">
        <v>106</v>
      </c>
    </row>
    <row r="550" spans="9:14" x14ac:dyDescent="0.3">
      <c r="I550" t="s">
        <v>124</v>
      </c>
      <c r="J550" s="22">
        <v>42859</v>
      </c>
      <c r="K550" t="s">
        <v>276</v>
      </c>
      <c r="L550">
        <v>6126</v>
      </c>
      <c r="M550">
        <v>3</v>
      </c>
      <c r="N550">
        <v>0</v>
      </c>
    </row>
    <row r="551" spans="9:14" x14ac:dyDescent="0.3">
      <c r="I551" t="s">
        <v>124</v>
      </c>
      <c r="J551" s="22">
        <v>42859</v>
      </c>
      <c r="K551" t="s">
        <v>292</v>
      </c>
      <c r="L551">
        <v>6221</v>
      </c>
      <c r="M551">
        <v>52</v>
      </c>
      <c r="N551">
        <v>0</v>
      </c>
    </row>
    <row r="552" spans="9:14" x14ac:dyDescent="0.3">
      <c r="I552" t="s">
        <v>124</v>
      </c>
      <c r="J552" s="22">
        <v>42877</v>
      </c>
      <c r="K552" t="s">
        <v>289</v>
      </c>
      <c r="L552">
        <v>6149</v>
      </c>
      <c r="M552">
        <v>1</v>
      </c>
      <c r="N552">
        <v>0</v>
      </c>
    </row>
    <row r="553" spans="9:14" x14ac:dyDescent="0.3">
      <c r="I553" t="s">
        <v>124</v>
      </c>
      <c r="J553" s="22">
        <v>42877</v>
      </c>
      <c r="K553" t="s">
        <v>320</v>
      </c>
      <c r="L553">
        <v>6598</v>
      </c>
      <c r="M553">
        <v>12</v>
      </c>
      <c r="N553">
        <v>3</v>
      </c>
    </row>
    <row r="554" spans="9:14" x14ac:dyDescent="0.3">
      <c r="I554" t="s">
        <v>124</v>
      </c>
      <c r="J554" s="22">
        <v>42859</v>
      </c>
      <c r="K554" t="s">
        <v>253</v>
      </c>
      <c r="L554">
        <v>6108</v>
      </c>
      <c r="M554">
        <v>4346</v>
      </c>
      <c r="N554">
        <v>4342</v>
      </c>
    </row>
    <row r="555" spans="9:14" x14ac:dyDescent="0.3">
      <c r="I555" t="s">
        <v>124</v>
      </c>
      <c r="J555" s="22">
        <v>42859</v>
      </c>
      <c r="K555" t="s">
        <v>273</v>
      </c>
      <c r="L555">
        <v>6123</v>
      </c>
      <c r="M555">
        <v>16</v>
      </c>
      <c r="N555">
        <v>15</v>
      </c>
    </row>
    <row r="556" spans="9:14" x14ac:dyDescent="0.3">
      <c r="I556" t="s">
        <v>124</v>
      </c>
      <c r="J556" s="22">
        <v>42859</v>
      </c>
      <c r="K556" t="s">
        <v>270</v>
      </c>
      <c r="L556">
        <v>6110</v>
      </c>
      <c r="M556">
        <v>2</v>
      </c>
      <c r="N556">
        <v>2</v>
      </c>
    </row>
    <row r="557" spans="9:14" x14ac:dyDescent="0.3">
      <c r="I557" t="s">
        <v>124</v>
      </c>
      <c r="J557" s="22">
        <v>42860</v>
      </c>
      <c r="K557" t="s">
        <v>260</v>
      </c>
      <c r="L557">
        <v>6114</v>
      </c>
      <c r="M557">
        <v>31</v>
      </c>
      <c r="N557">
        <v>23</v>
      </c>
    </row>
    <row r="558" spans="9:14" x14ac:dyDescent="0.3">
      <c r="I558" t="s">
        <v>124</v>
      </c>
      <c r="J558" s="22">
        <v>42860</v>
      </c>
      <c r="K558" t="s">
        <v>263</v>
      </c>
      <c r="L558">
        <v>6120</v>
      </c>
      <c r="M558">
        <v>18</v>
      </c>
      <c r="N558">
        <v>17</v>
      </c>
    </row>
    <row r="559" spans="9:14" x14ac:dyDescent="0.3">
      <c r="I559" t="s">
        <v>124</v>
      </c>
      <c r="J559" s="22">
        <v>42860</v>
      </c>
      <c r="K559" t="s">
        <v>259</v>
      </c>
      <c r="L559">
        <v>6122</v>
      </c>
      <c r="M559">
        <v>40</v>
      </c>
      <c r="N559">
        <v>39</v>
      </c>
    </row>
    <row r="560" spans="9:14" x14ac:dyDescent="0.3">
      <c r="I560" t="s">
        <v>124</v>
      </c>
      <c r="J560" s="22">
        <v>42876</v>
      </c>
      <c r="K560" t="s">
        <v>268</v>
      </c>
      <c r="L560">
        <v>6106</v>
      </c>
      <c r="M560">
        <v>128</v>
      </c>
      <c r="N560">
        <v>0</v>
      </c>
    </row>
    <row r="561" spans="9:14" x14ac:dyDescent="0.3">
      <c r="I561" t="s">
        <v>124</v>
      </c>
      <c r="J561" s="22">
        <v>42861</v>
      </c>
      <c r="K561" t="s">
        <v>277</v>
      </c>
      <c r="L561">
        <v>6127</v>
      </c>
      <c r="M561">
        <v>449</v>
      </c>
      <c r="N561">
        <v>330</v>
      </c>
    </row>
    <row r="562" spans="9:14" x14ac:dyDescent="0.3">
      <c r="I562" t="s">
        <v>124</v>
      </c>
      <c r="J562" s="22">
        <v>42878</v>
      </c>
      <c r="K562" t="s">
        <v>325</v>
      </c>
      <c r="L562">
        <v>6595</v>
      </c>
      <c r="M562">
        <v>62</v>
      </c>
      <c r="N562">
        <v>8</v>
      </c>
    </row>
    <row r="563" spans="9:14" x14ac:dyDescent="0.3">
      <c r="I563" t="s">
        <v>124</v>
      </c>
      <c r="J563" s="22">
        <v>42878</v>
      </c>
      <c r="K563" t="s">
        <v>324</v>
      </c>
      <c r="L563">
        <v>6591</v>
      </c>
      <c r="M563">
        <v>4</v>
      </c>
      <c r="N563">
        <v>0</v>
      </c>
    </row>
    <row r="564" spans="9:14" x14ac:dyDescent="0.3">
      <c r="I564" t="s">
        <v>124</v>
      </c>
      <c r="J564" s="22">
        <v>42878</v>
      </c>
      <c r="K564" t="s">
        <v>270</v>
      </c>
      <c r="L564">
        <v>6110</v>
      </c>
      <c r="M564">
        <v>6</v>
      </c>
      <c r="N564">
        <v>6</v>
      </c>
    </row>
    <row r="565" spans="9:14" x14ac:dyDescent="0.3">
      <c r="I565" t="s">
        <v>124</v>
      </c>
      <c r="J565" s="22">
        <v>42878</v>
      </c>
      <c r="K565" t="s">
        <v>263</v>
      </c>
      <c r="L565">
        <v>6120</v>
      </c>
      <c r="M565">
        <v>30</v>
      </c>
      <c r="N565">
        <v>22</v>
      </c>
    </row>
    <row r="566" spans="9:14" x14ac:dyDescent="0.3">
      <c r="I566" t="s">
        <v>124</v>
      </c>
      <c r="J566" s="22">
        <v>42878</v>
      </c>
      <c r="K566" t="s">
        <v>273</v>
      </c>
      <c r="L566">
        <v>6123</v>
      </c>
      <c r="M566">
        <v>13</v>
      </c>
      <c r="N566">
        <v>13</v>
      </c>
    </row>
    <row r="567" spans="9:14" x14ac:dyDescent="0.3">
      <c r="I567" t="s">
        <v>124</v>
      </c>
      <c r="J567" s="22">
        <v>42878</v>
      </c>
      <c r="K567" t="s">
        <v>321</v>
      </c>
      <c r="L567">
        <v>6596</v>
      </c>
      <c r="M567">
        <v>48</v>
      </c>
      <c r="N567">
        <v>8</v>
      </c>
    </row>
    <row r="568" spans="9:14" x14ac:dyDescent="0.3">
      <c r="I568" t="s">
        <v>124</v>
      </c>
      <c r="J568" s="22">
        <v>42878</v>
      </c>
      <c r="K568" t="s">
        <v>264</v>
      </c>
      <c r="L568">
        <v>6112</v>
      </c>
      <c r="M568">
        <v>5</v>
      </c>
      <c r="N568">
        <v>5</v>
      </c>
    </row>
    <row r="569" spans="9:14" x14ac:dyDescent="0.3">
      <c r="I569" t="s">
        <v>124</v>
      </c>
      <c r="J569" s="22">
        <v>42863</v>
      </c>
      <c r="K569" t="s">
        <v>293</v>
      </c>
      <c r="L569">
        <v>6222</v>
      </c>
      <c r="M569">
        <v>8</v>
      </c>
      <c r="N569">
        <v>0</v>
      </c>
    </row>
    <row r="570" spans="9:14" x14ac:dyDescent="0.3">
      <c r="I570" t="s">
        <v>124</v>
      </c>
      <c r="J570" s="22">
        <v>42879</v>
      </c>
      <c r="K570" t="s">
        <v>329</v>
      </c>
      <c r="L570">
        <v>6587</v>
      </c>
      <c r="M570">
        <v>1</v>
      </c>
      <c r="N570">
        <v>1</v>
      </c>
    </row>
    <row r="571" spans="9:14" x14ac:dyDescent="0.3">
      <c r="I571" t="s">
        <v>124</v>
      </c>
      <c r="J571" s="22">
        <v>42879</v>
      </c>
      <c r="K571" t="s">
        <v>289</v>
      </c>
      <c r="L571">
        <v>6149</v>
      </c>
      <c r="M571">
        <v>2</v>
      </c>
      <c r="N571">
        <v>0</v>
      </c>
    </row>
    <row r="572" spans="9:14" x14ac:dyDescent="0.3">
      <c r="I572" t="s">
        <v>124</v>
      </c>
      <c r="J572" s="22">
        <v>42863</v>
      </c>
      <c r="K572" t="s">
        <v>259</v>
      </c>
      <c r="L572">
        <v>6122</v>
      </c>
      <c r="M572">
        <v>41</v>
      </c>
      <c r="N572">
        <v>41</v>
      </c>
    </row>
    <row r="573" spans="9:14" x14ac:dyDescent="0.3">
      <c r="I573" t="s">
        <v>124</v>
      </c>
      <c r="J573" s="22">
        <v>42863</v>
      </c>
      <c r="K573" t="s">
        <v>264</v>
      </c>
      <c r="L573">
        <v>6112</v>
      </c>
      <c r="M573">
        <v>14</v>
      </c>
      <c r="N573">
        <v>12</v>
      </c>
    </row>
    <row r="574" spans="9:14" x14ac:dyDescent="0.3">
      <c r="I574" t="s">
        <v>124</v>
      </c>
      <c r="J574" s="22">
        <v>42863</v>
      </c>
      <c r="K574" t="s">
        <v>286</v>
      </c>
      <c r="L574">
        <v>6146</v>
      </c>
      <c r="M574">
        <v>6</v>
      </c>
      <c r="N574">
        <v>0</v>
      </c>
    </row>
    <row r="575" spans="9:14" x14ac:dyDescent="0.3">
      <c r="I575" t="s">
        <v>124</v>
      </c>
      <c r="J575" s="22">
        <v>42863</v>
      </c>
      <c r="K575" t="s">
        <v>282</v>
      </c>
      <c r="L575">
        <v>6142</v>
      </c>
      <c r="M575">
        <v>3</v>
      </c>
      <c r="N575">
        <v>0</v>
      </c>
    </row>
    <row r="576" spans="9:14" x14ac:dyDescent="0.3">
      <c r="I576" t="s">
        <v>124</v>
      </c>
      <c r="J576" s="22">
        <v>42864</v>
      </c>
      <c r="K576" t="s">
        <v>292</v>
      </c>
      <c r="L576">
        <v>6221</v>
      </c>
      <c r="M576">
        <v>55</v>
      </c>
      <c r="N576">
        <v>0</v>
      </c>
    </row>
    <row r="577" spans="9:14" x14ac:dyDescent="0.3">
      <c r="I577" t="s">
        <v>124</v>
      </c>
      <c r="J577" s="22">
        <v>42865</v>
      </c>
      <c r="K577" t="s">
        <v>257</v>
      </c>
      <c r="L577">
        <v>6115</v>
      </c>
      <c r="M577">
        <v>34</v>
      </c>
      <c r="N577">
        <v>33</v>
      </c>
    </row>
    <row r="578" spans="9:14" x14ac:dyDescent="0.3">
      <c r="I578" t="s">
        <v>124</v>
      </c>
      <c r="J578" s="22">
        <v>42865</v>
      </c>
      <c r="K578" t="s">
        <v>263</v>
      </c>
      <c r="L578">
        <v>6120</v>
      </c>
      <c r="M578">
        <v>28</v>
      </c>
      <c r="N578">
        <v>22</v>
      </c>
    </row>
    <row r="579" spans="9:14" x14ac:dyDescent="0.3">
      <c r="I579" t="s">
        <v>124</v>
      </c>
      <c r="J579" s="22">
        <v>42866</v>
      </c>
      <c r="K579" t="s">
        <v>277</v>
      </c>
      <c r="L579">
        <v>6127</v>
      </c>
      <c r="M579">
        <v>361</v>
      </c>
      <c r="N579">
        <v>288</v>
      </c>
    </row>
    <row r="580" spans="9:14" x14ac:dyDescent="0.3">
      <c r="I580" t="s">
        <v>124</v>
      </c>
      <c r="J580" s="22">
        <v>42865</v>
      </c>
      <c r="K580" t="s">
        <v>294</v>
      </c>
      <c r="L580">
        <v>6223</v>
      </c>
      <c r="M580">
        <v>1</v>
      </c>
      <c r="N580">
        <v>0</v>
      </c>
    </row>
    <row r="581" spans="9:14" x14ac:dyDescent="0.3">
      <c r="I581" t="s">
        <v>124</v>
      </c>
      <c r="J581" s="22">
        <v>42866</v>
      </c>
      <c r="K581" t="s">
        <v>253</v>
      </c>
      <c r="L581">
        <v>6108</v>
      </c>
      <c r="M581">
        <v>4100</v>
      </c>
      <c r="N581">
        <v>4083</v>
      </c>
    </row>
    <row r="582" spans="9:14" x14ac:dyDescent="0.3">
      <c r="I582" t="s">
        <v>124</v>
      </c>
      <c r="J582" s="22">
        <v>42866</v>
      </c>
      <c r="K582" t="s">
        <v>256</v>
      </c>
      <c r="L582">
        <v>6113</v>
      </c>
      <c r="M582">
        <v>48</v>
      </c>
      <c r="N582">
        <v>47</v>
      </c>
    </row>
    <row r="583" spans="9:14" x14ac:dyDescent="0.3">
      <c r="I583" t="s">
        <v>124</v>
      </c>
      <c r="J583" s="22">
        <v>42867</v>
      </c>
      <c r="K583" t="s">
        <v>272</v>
      </c>
      <c r="L583">
        <v>6116</v>
      </c>
      <c r="M583">
        <v>174</v>
      </c>
      <c r="N583">
        <v>0</v>
      </c>
    </row>
    <row r="584" spans="9:14" x14ac:dyDescent="0.3">
      <c r="I584" t="s">
        <v>124</v>
      </c>
      <c r="J584" s="22">
        <v>42867</v>
      </c>
      <c r="K584" t="s">
        <v>293</v>
      </c>
      <c r="L584">
        <v>6222</v>
      </c>
      <c r="M584">
        <v>78</v>
      </c>
      <c r="N584">
        <v>0</v>
      </c>
    </row>
    <row r="585" spans="9:14" x14ac:dyDescent="0.3">
      <c r="I585" t="s">
        <v>124</v>
      </c>
      <c r="J585" s="22">
        <v>42867</v>
      </c>
      <c r="K585" t="s">
        <v>284</v>
      </c>
      <c r="L585">
        <v>6144</v>
      </c>
      <c r="M585">
        <v>2</v>
      </c>
      <c r="N585">
        <v>0</v>
      </c>
    </row>
    <row r="586" spans="9:14" x14ac:dyDescent="0.3">
      <c r="I586" t="s">
        <v>124</v>
      </c>
      <c r="J586" s="22">
        <v>42867</v>
      </c>
      <c r="K586" t="s">
        <v>289</v>
      </c>
      <c r="L586">
        <v>6149</v>
      </c>
      <c r="M586">
        <v>3</v>
      </c>
      <c r="N586">
        <v>0</v>
      </c>
    </row>
    <row r="587" spans="9:14" x14ac:dyDescent="0.3">
      <c r="I587" t="s">
        <v>124</v>
      </c>
      <c r="J587" s="22">
        <v>42885</v>
      </c>
      <c r="K587" t="s">
        <v>331</v>
      </c>
      <c r="L587">
        <v>6597</v>
      </c>
      <c r="M587">
        <v>96</v>
      </c>
      <c r="N587">
        <v>17</v>
      </c>
    </row>
    <row r="588" spans="9:14" x14ac:dyDescent="0.3">
      <c r="I588" t="s">
        <v>124</v>
      </c>
      <c r="J588" s="22">
        <v>42885</v>
      </c>
      <c r="K588" t="s">
        <v>270</v>
      </c>
      <c r="L588">
        <v>6110</v>
      </c>
      <c r="M588">
        <v>5</v>
      </c>
      <c r="N588">
        <v>5</v>
      </c>
    </row>
    <row r="589" spans="9:14" x14ac:dyDescent="0.3">
      <c r="I589" t="s">
        <v>124</v>
      </c>
      <c r="J589" s="22">
        <v>42885</v>
      </c>
      <c r="K589" t="s">
        <v>257</v>
      </c>
      <c r="L589">
        <v>6115</v>
      </c>
      <c r="M589">
        <v>90</v>
      </c>
      <c r="N589">
        <v>74</v>
      </c>
    </row>
    <row r="590" spans="9:14" x14ac:dyDescent="0.3">
      <c r="I590" t="s">
        <v>124</v>
      </c>
      <c r="J590" s="22">
        <v>42885</v>
      </c>
      <c r="K590" t="s">
        <v>319</v>
      </c>
      <c r="L590">
        <v>6592</v>
      </c>
      <c r="M590">
        <v>49</v>
      </c>
      <c r="N590">
        <v>10</v>
      </c>
    </row>
    <row r="591" spans="9:14" x14ac:dyDescent="0.3">
      <c r="I591" t="s">
        <v>124</v>
      </c>
      <c r="J591" s="22">
        <v>42885</v>
      </c>
      <c r="K591" t="s">
        <v>320</v>
      </c>
      <c r="L591">
        <v>6598</v>
      </c>
      <c r="M591">
        <v>4</v>
      </c>
      <c r="N591">
        <v>0</v>
      </c>
    </row>
    <row r="592" spans="9:14" x14ac:dyDescent="0.3">
      <c r="I592" t="s">
        <v>124</v>
      </c>
      <c r="J592" s="22">
        <v>42885</v>
      </c>
      <c r="K592" t="s">
        <v>292</v>
      </c>
      <c r="L592">
        <v>6221</v>
      </c>
      <c r="M592">
        <v>108</v>
      </c>
      <c r="N592">
        <v>0</v>
      </c>
    </row>
    <row r="593" spans="9:14" x14ac:dyDescent="0.3">
      <c r="I593" t="s">
        <v>124</v>
      </c>
      <c r="J593" s="22">
        <v>42881</v>
      </c>
      <c r="K593" t="s">
        <v>330</v>
      </c>
      <c r="L593">
        <v>6594</v>
      </c>
      <c r="M593">
        <v>32</v>
      </c>
      <c r="N593">
        <v>8</v>
      </c>
    </row>
    <row r="594" spans="9:14" x14ac:dyDescent="0.3">
      <c r="I594" t="s">
        <v>124</v>
      </c>
      <c r="J594" s="22">
        <v>42886</v>
      </c>
      <c r="K594" t="s">
        <v>277</v>
      </c>
      <c r="L594">
        <v>6127</v>
      </c>
      <c r="M594">
        <v>405</v>
      </c>
      <c r="N594">
        <v>5</v>
      </c>
    </row>
    <row r="595" spans="9:14" x14ac:dyDescent="0.3">
      <c r="I595" t="s">
        <v>124</v>
      </c>
      <c r="J595" s="22">
        <v>42886</v>
      </c>
      <c r="K595" t="s">
        <v>292</v>
      </c>
      <c r="L595">
        <v>6221</v>
      </c>
      <c r="M595">
        <v>57</v>
      </c>
      <c r="N595">
        <v>0</v>
      </c>
    </row>
    <row r="596" spans="9:14" x14ac:dyDescent="0.3">
      <c r="I596" t="s">
        <v>124</v>
      </c>
      <c r="J596" s="22">
        <v>42881</v>
      </c>
      <c r="K596" t="s">
        <v>318</v>
      </c>
      <c r="L596">
        <v>6590</v>
      </c>
      <c r="M596">
        <v>20</v>
      </c>
      <c r="N596">
        <v>2</v>
      </c>
    </row>
    <row r="597" spans="9:14" x14ac:dyDescent="0.3">
      <c r="I597" t="s">
        <v>124</v>
      </c>
      <c r="J597" s="22">
        <v>42881</v>
      </c>
      <c r="K597" t="s">
        <v>323</v>
      </c>
      <c r="L597">
        <v>6588</v>
      </c>
      <c r="M597">
        <v>39</v>
      </c>
      <c r="N597">
        <v>7</v>
      </c>
    </row>
    <row r="598" spans="9:14" x14ac:dyDescent="0.3">
      <c r="I598" t="s">
        <v>124</v>
      </c>
      <c r="J598" s="22">
        <v>42882</v>
      </c>
      <c r="K598" t="s">
        <v>268</v>
      </c>
      <c r="L598">
        <v>6106</v>
      </c>
      <c r="M598">
        <v>12</v>
      </c>
      <c r="N598">
        <v>0</v>
      </c>
    </row>
    <row r="599" spans="9:14" x14ac:dyDescent="0.3">
      <c r="I599" t="s">
        <v>124</v>
      </c>
      <c r="J599" s="22">
        <v>42881</v>
      </c>
      <c r="K599" t="s">
        <v>287</v>
      </c>
      <c r="L599">
        <v>6147</v>
      </c>
      <c r="M599">
        <v>6</v>
      </c>
      <c r="N599">
        <v>0</v>
      </c>
    </row>
    <row r="600" spans="9:14" x14ac:dyDescent="0.3">
      <c r="I600" t="s">
        <v>124</v>
      </c>
      <c r="J600" s="22">
        <v>42887</v>
      </c>
      <c r="K600" t="s">
        <v>322</v>
      </c>
      <c r="L600">
        <v>6586</v>
      </c>
      <c r="M600">
        <v>7281</v>
      </c>
      <c r="N600">
        <v>2074</v>
      </c>
    </row>
    <row r="601" spans="9:14" x14ac:dyDescent="0.3">
      <c r="I601" t="s">
        <v>124</v>
      </c>
      <c r="J601" s="22">
        <v>42887</v>
      </c>
      <c r="K601" t="s">
        <v>319</v>
      </c>
      <c r="L601">
        <v>6592</v>
      </c>
      <c r="M601">
        <v>22</v>
      </c>
      <c r="N601">
        <v>6</v>
      </c>
    </row>
    <row r="602" spans="9:14" x14ac:dyDescent="0.3">
      <c r="I602" t="s">
        <v>124</v>
      </c>
      <c r="J602" s="22">
        <v>42881</v>
      </c>
      <c r="K602" t="s">
        <v>284</v>
      </c>
      <c r="L602">
        <v>6144</v>
      </c>
      <c r="M602">
        <v>6</v>
      </c>
      <c r="N602">
        <v>0</v>
      </c>
    </row>
    <row r="603" spans="9:14" x14ac:dyDescent="0.3">
      <c r="I603" t="s">
        <v>124</v>
      </c>
      <c r="J603" s="22">
        <v>42887</v>
      </c>
      <c r="K603" t="s">
        <v>258</v>
      </c>
      <c r="L603">
        <v>6119</v>
      </c>
      <c r="M603">
        <v>83</v>
      </c>
      <c r="N603">
        <v>82</v>
      </c>
    </row>
    <row r="604" spans="9:14" x14ac:dyDescent="0.3">
      <c r="I604" t="s">
        <v>124</v>
      </c>
      <c r="J604" s="22">
        <v>42888</v>
      </c>
      <c r="K604" t="s">
        <v>318</v>
      </c>
      <c r="L604">
        <v>6590</v>
      </c>
      <c r="M604">
        <v>26</v>
      </c>
      <c r="N604">
        <v>8</v>
      </c>
    </row>
    <row r="605" spans="9:14" x14ac:dyDescent="0.3">
      <c r="I605" t="s">
        <v>124</v>
      </c>
      <c r="J605" s="22">
        <v>42886</v>
      </c>
      <c r="K605" t="s">
        <v>256</v>
      </c>
      <c r="L605">
        <v>6113</v>
      </c>
      <c r="M605">
        <v>80</v>
      </c>
      <c r="N605">
        <v>80</v>
      </c>
    </row>
    <row r="606" spans="9:14" x14ac:dyDescent="0.3">
      <c r="I606" t="s">
        <v>124</v>
      </c>
      <c r="J606" s="22">
        <v>42886</v>
      </c>
      <c r="K606" t="s">
        <v>255</v>
      </c>
      <c r="L606">
        <v>6109</v>
      </c>
      <c r="M606">
        <v>906</v>
      </c>
      <c r="N606">
        <v>897</v>
      </c>
    </row>
    <row r="607" spans="9:14" x14ac:dyDescent="0.3">
      <c r="I607" t="s">
        <v>124</v>
      </c>
      <c r="J607" s="22">
        <v>42886</v>
      </c>
      <c r="K607" t="s">
        <v>272</v>
      </c>
      <c r="L607">
        <v>6116</v>
      </c>
      <c r="M607">
        <v>236</v>
      </c>
      <c r="N607">
        <v>1</v>
      </c>
    </row>
    <row r="608" spans="9:14" x14ac:dyDescent="0.3">
      <c r="I608" t="s">
        <v>124</v>
      </c>
      <c r="J608" s="22">
        <v>42886</v>
      </c>
      <c r="K608" t="s">
        <v>258</v>
      </c>
      <c r="L608">
        <v>6119</v>
      </c>
      <c r="M608">
        <v>101</v>
      </c>
      <c r="N608">
        <v>99</v>
      </c>
    </row>
    <row r="609" spans="9:14" x14ac:dyDescent="0.3">
      <c r="I609" t="s">
        <v>124</v>
      </c>
      <c r="J609" s="22">
        <v>42886</v>
      </c>
      <c r="K609" t="s">
        <v>283</v>
      </c>
      <c r="L609">
        <v>6143</v>
      </c>
      <c r="M609">
        <v>2</v>
      </c>
      <c r="N609">
        <v>0</v>
      </c>
    </row>
    <row r="610" spans="9:14" x14ac:dyDescent="0.3">
      <c r="I610" t="s">
        <v>124</v>
      </c>
      <c r="J610" s="22">
        <v>42886</v>
      </c>
      <c r="K610" t="s">
        <v>289</v>
      </c>
      <c r="L610">
        <v>6149</v>
      </c>
      <c r="M610">
        <v>3</v>
      </c>
      <c r="N610">
        <v>0</v>
      </c>
    </row>
    <row r="611" spans="9:14" x14ac:dyDescent="0.3">
      <c r="I611" t="s">
        <v>124</v>
      </c>
      <c r="J611" s="22">
        <v>42886</v>
      </c>
      <c r="K611" t="s">
        <v>286</v>
      </c>
      <c r="L611">
        <v>6146</v>
      </c>
      <c r="M611">
        <v>1</v>
      </c>
      <c r="N611">
        <v>0</v>
      </c>
    </row>
    <row r="612" spans="9:14" x14ac:dyDescent="0.3">
      <c r="I612" t="s">
        <v>124</v>
      </c>
      <c r="J612" s="22">
        <v>42862</v>
      </c>
      <c r="K612" t="s">
        <v>287</v>
      </c>
      <c r="L612">
        <v>6147</v>
      </c>
      <c r="M612">
        <v>1</v>
      </c>
      <c r="N612">
        <v>0</v>
      </c>
    </row>
    <row r="613" spans="9:14" x14ac:dyDescent="0.3">
      <c r="I613" t="s">
        <v>124</v>
      </c>
      <c r="J613" s="22">
        <v>42862</v>
      </c>
      <c r="K613" t="s">
        <v>293</v>
      </c>
      <c r="L613">
        <v>6222</v>
      </c>
      <c r="M613">
        <v>2</v>
      </c>
      <c r="N613">
        <v>0</v>
      </c>
    </row>
    <row r="614" spans="9:14" x14ac:dyDescent="0.3">
      <c r="I614" t="s">
        <v>124</v>
      </c>
      <c r="J614" s="22">
        <v>42887</v>
      </c>
      <c r="K614" t="s">
        <v>274</v>
      </c>
      <c r="L614">
        <v>6124</v>
      </c>
      <c r="M614">
        <v>9</v>
      </c>
      <c r="N614">
        <v>9</v>
      </c>
    </row>
    <row r="615" spans="9:14" x14ac:dyDescent="0.3">
      <c r="I615" t="s">
        <v>124</v>
      </c>
      <c r="J615" s="22">
        <v>42887</v>
      </c>
      <c r="K615" t="s">
        <v>271</v>
      </c>
      <c r="L615">
        <v>6111</v>
      </c>
      <c r="M615">
        <v>3</v>
      </c>
      <c r="N615">
        <v>0</v>
      </c>
    </row>
    <row r="616" spans="9:14" x14ac:dyDescent="0.3">
      <c r="I616" t="s">
        <v>124</v>
      </c>
      <c r="J616" s="22">
        <v>42889</v>
      </c>
      <c r="K616" t="s">
        <v>277</v>
      </c>
      <c r="L616">
        <v>6127</v>
      </c>
      <c r="M616">
        <v>15</v>
      </c>
      <c r="N616">
        <v>0</v>
      </c>
    </row>
    <row r="617" spans="9:14" x14ac:dyDescent="0.3">
      <c r="I617" t="s">
        <v>124</v>
      </c>
      <c r="J617" s="22">
        <v>42889</v>
      </c>
      <c r="K617" t="s">
        <v>322</v>
      </c>
      <c r="L617">
        <v>6586</v>
      </c>
      <c r="M617">
        <v>14</v>
      </c>
      <c r="N617">
        <v>8</v>
      </c>
    </row>
    <row r="618" spans="9:14" x14ac:dyDescent="0.3">
      <c r="I618" t="s">
        <v>124</v>
      </c>
      <c r="J618" s="22">
        <v>42861</v>
      </c>
      <c r="K618" t="s">
        <v>293</v>
      </c>
      <c r="L618">
        <v>6222</v>
      </c>
      <c r="M618">
        <v>7</v>
      </c>
      <c r="N618">
        <v>0</v>
      </c>
    </row>
    <row r="619" spans="9:14" x14ac:dyDescent="0.3">
      <c r="I619" t="s">
        <v>124</v>
      </c>
      <c r="J619" s="22">
        <v>42888</v>
      </c>
      <c r="K619" t="s">
        <v>276</v>
      </c>
      <c r="L619">
        <v>6126</v>
      </c>
      <c r="M619">
        <v>1</v>
      </c>
      <c r="N619">
        <v>0</v>
      </c>
    </row>
    <row r="620" spans="9:14" x14ac:dyDescent="0.3">
      <c r="I620" t="s">
        <v>124</v>
      </c>
      <c r="J620" s="22">
        <v>42889</v>
      </c>
      <c r="K620" t="s">
        <v>331</v>
      </c>
      <c r="L620">
        <v>6597</v>
      </c>
      <c r="M620">
        <v>1</v>
      </c>
      <c r="N620">
        <v>0</v>
      </c>
    </row>
    <row r="621" spans="9:14" x14ac:dyDescent="0.3">
      <c r="I621" t="s">
        <v>124</v>
      </c>
      <c r="J621" s="22">
        <v>42856</v>
      </c>
      <c r="K621" t="s">
        <v>265</v>
      </c>
      <c r="L621">
        <v>6118</v>
      </c>
      <c r="M621">
        <v>66</v>
      </c>
      <c r="N621">
        <v>59</v>
      </c>
    </row>
    <row r="622" spans="9:14" x14ac:dyDescent="0.3">
      <c r="I622" t="s">
        <v>124</v>
      </c>
      <c r="J622" s="22">
        <v>42856</v>
      </c>
      <c r="K622" t="s">
        <v>274</v>
      </c>
      <c r="L622">
        <v>6124</v>
      </c>
      <c r="M622">
        <v>11</v>
      </c>
      <c r="N622">
        <v>11</v>
      </c>
    </row>
    <row r="623" spans="9:14" x14ac:dyDescent="0.3">
      <c r="I623" t="s">
        <v>124</v>
      </c>
      <c r="J623" s="22">
        <v>42856</v>
      </c>
      <c r="K623" t="s">
        <v>270</v>
      </c>
      <c r="L623">
        <v>6110</v>
      </c>
      <c r="M623">
        <v>3</v>
      </c>
      <c r="N623">
        <v>3</v>
      </c>
    </row>
    <row r="624" spans="9:14" x14ac:dyDescent="0.3">
      <c r="I624" t="s">
        <v>124</v>
      </c>
      <c r="J624" s="22">
        <v>42856</v>
      </c>
      <c r="K624" t="s">
        <v>271</v>
      </c>
      <c r="L624">
        <v>6111</v>
      </c>
      <c r="M624">
        <v>1</v>
      </c>
      <c r="N624">
        <v>0</v>
      </c>
    </row>
    <row r="625" spans="9:14" x14ac:dyDescent="0.3">
      <c r="I625" t="s">
        <v>124</v>
      </c>
      <c r="J625" s="22">
        <v>42857</v>
      </c>
      <c r="K625" t="s">
        <v>255</v>
      </c>
      <c r="L625">
        <v>6109</v>
      </c>
      <c r="M625">
        <v>1000</v>
      </c>
      <c r="N625">
        <v>998</v>
      </c>
    </row>
    <row r="626" spans="9:14" x14ac:dyDescent="0.3">
      <c r="I626" t="s">
        <v>124</v>
      </c>
      <c r="J626" s="22">
        <v>42857</v>
      </c>
      <c r="K626" t="s">
        <v>263</v>
      </c>
      <c r="L626">
        <v>6120</v>
      </c>
      <c r="M626">
        <v>26</v>
      </c>
      <c r="N626">
        <v>26</v>
      </c>
    </row>
    <row r="627" spans="9:14" x14ac:dyDescent="0.3">
      <c r="I627" t="s">
        <v>124</v>
      </c>
      <c r="J627" s="22">
        <v>42857</v>
      </c>
      <c r="K627" t="s">
        <v>257</v>
      </c>
      <c r="L627">
        <v>6115</v>
      </c>
      <c r="M627">
        <v>51</v>
      </c>
      <c r="N627">
        <v>51</v>
      </c>
    </row>
    <row r="628" spans="9:14" x14ac:dyDescent="0.3">
      <c r="I628" t="s">
        <v>124</v>
      </c>
      <c r="J628" s="22">
        <v>42857</v>
      </c>
      <c r="K628" t="s">
        <v>287</v>
      </c>
      <c r="L628">
        <v>6147</v>
      </c>
      <c r="M628">
        <v>5</v>
      </c>
      <c r="N628">
        <v>0</v>
      </c>
    </row>
    <row r="629" spans="9:14" x14ac:dyDescent="0.3">
      <c r="I629" t="s">
        <v>124</v>
      </c>
      <c r="J629" s="22">
        <v>42858</v>
      </c>
      <c r="K629" t="s">
        <v>260</v>
      </c>
      <c r="L629">
        <v>6114</v>
      </c>
      <c r="M629">
        <v>45</v>
      </c>
      <c r="N629">
        <v>33</v>
      </c>
    </row>
    <row r="630" spans="9:14" x14ac:dyDescent="0.3">
      <c r="I630" t="s">
        <v>124</v>
      </c>
      <c r="J630" s="22">
        <v>42858</v>
      </c>
      <c r="K630" t="s">
        <v>262</v>
      </c>
      <c r="L630">
        <v>6121</v>
      </c>
      <c r="M630">
        <v>15</v>
      </c>
      <c r="N630">
        <v>15</v>
      </c>
    </row>
    <row r="631" spans="9:14" x14ac:dyDescent="0.3">
      <c r="I631" t="s">
        <v>124</v>
      </c>
      <c r="J631" s="22">
        <v>42858</v>
      </c>
      <c r="K631" t="s">
        <v>264</v>
      </c>
      <c r="L631">
        <v>6112</v>
      </c>
      <c r="M631">
        <v>7</v>
      </c>
      <c r="N631">
        <v>7</v>
      </c>
    </row>
    <row r="632" spans="9:14" x14ac:dyDescent="0.3">
      <c r="I632" t="s">
        <v>124</v>
      </c>
      <c r="J632" s="22">
        <v>42858</v>
      </c>
      <c r="K632" t="s">
        <v>271</v>
      </c>
      <c r="L632">
        <v>6111</v>
      </c>
      <c r="M632">
        <v>1</v>
      </c>
      <c r="N632">
        <v>0</v>
      </c>
    </row>
    <row r="633" spans="9:14" x14ac:dyDescent="0.3">
      <c r="I633" t="s">
        <v>124</v>
      </c>
      <c r="J633" s="22">
        <v>42858</v>
      </c>
      <c r="K633" t="s">
        <v>288</v>
      </c>
      <c r="L633">
        <v>6148</v>
      </c>
      <c r="M633">
        <v>7</v>
      </c>
      <c r="N633">
        <v>0</v>
      </c>
    </row>
    <row r="634" spans="9:14" x14ac:dyDescent="0.3">
      <c r="I634" t="s">
        <v>124</v>
      </c>
      <c r="J634" s="22">
        <v>42858</v>
      </c>
      <c r="K634" t="s">
        <v>286</v>
      </c>
      <c r="L634">
        <v>6146</v>
      </c>
      <c r="M634">
        <v>2</v>
      </c>
      <c r="N634">
        <v>0</v>
      </c>
    </row>
    <row r="635" spans="9:14" x14ac:dyDescent="0.3">
      <c r="I635" t="s">
        <v>124</v>
      </c>
      <c r="J635" s="22">
        <v>42877</v>
      </c>
      <c r="K635" t="s">
        <v>278</v>
      </c>
      <c r="L635">
        <v>6132</v>
      </c>
      <c r="M635">
        <v>4</v>
      </c>
      <c r="N635">
        <v>0</v>
      </c>
    </row>
    <row r="636" spans="9:14" x14ac:dyDescent="0.3">
      <c r="I636" t="s">
        <v>124</v>
      </c>
      <c r="J636" s="22">
        <v>42877</v>
      </c>
      <c r="K636" t="s">
        <v>288</v>
      </c>
      <c r="L636">
        <v>6148</v>
      </c>
      <c r="M636">
        <v>4</v>
      </c>
      <c r="N636">
        <v>0</v>
      </c>
    </row>
    <row r="637" spans="9:14" x14ac:dyDescent="0.3">
      <c r="I637" t="s">
        <v>124</v>
      </c>
      <c r="J637" s="22">
        <v>42877</v>
      </c>
      <c r="K637" t="s">
        <v>257</v>
      </c>
      <c r="L637">
        <v>6115</v>
      </c>
      <c r="M637">
        <v>53</v>
      </c>
      <c r="N637">
        <v>51</v>
      </c>
    </row>
    <row r="638" spans="9:14" x14ac:dyDescent="0.3">
      <c r="I638" t="s">
        <v>124</v>
      </c>
      <c r="J638" s="22">
        <v>42877</v>
      </c>
      <c r="K638" t="s">
        <v>327</v>
      </c>
      <c r="L638">
        <v>6593</v>
      </c>
      <c r="M638">
        <v>94</v>
      </c>
      <c r="N638">
        <v>17</v>
      </c>
    </row>
    <row r="639" spans="9:14" x14ac:dyDescent="0.3">
      <c r="I639" t="s">
        <v>124</v>
      </c>
      <c r="J639" s="22">
        <v>42878</v>
      </c>
      <c r="K639" t="s">
        <v>329</v>
      </c>
      <c r="L639">
        <v>6587</v>
      </c>
      <c r="M639">
        <v>965</v>
      </c>
      <c r="N639">
        <v>286</v>
      </c>
    </row>
    <row r="640" spans="9:14" x14ac:dyDescent="0.3">
      <c r="I640" t="s">
        <v>124</v>
      </c>
      <c r="J640" s="22">
        <v>42859</v>
      </c>
      <c r="K640" t="s">
        <v>272</v>
      </c>
      <c r="L640">
        <v>6116</v>
      </c>
      <c r="M640">
        <v>264</v>
      </c>
      <c r="N640">
        <v>1</v>
      </c>
    </row>
    <row r="641" spans="9:14" x14ac:dyDescent="0.3">
      <c r="I641" t="s">
        <v>124</v>
      </c>
      <c r="J641" s="22">
        <v>42859</v>
      </c>
      <c r="K641" t="s">
        <v>254</v>
      </c>
      <c r="L641">
        <v>6133</v>
      </c>
      <c r="M641">
        <v>1</v>
      </c>
      <c r="N641">
        <v>1</v>
      </c>
    </row>
    <row r="642" spans="9:14" x14ac:dyDescent="0.3">
      <c r="I642" t="s">
        <v>124</v>
      </c>
      <c r="J642" s="22">
        <v>42860</v>
      </c>
      <c r="K642" t="s">
        <v>261</v>
      </c>
      <c r="L642">
        <v>6117</v>
      </c>
      <c r="M642">
        <v>23</v>
      </c>
      <c r="N642">
        <v>23</v>
      </c>
    </row>
    <row r="643" spans="9:14" x14ac:dyDescent="0.3">
      <c r="I643" t="s">
        <v>124</v>
      </c>
      <c r="J643" s="22">
        <v>42860</v>
      </c>
      <c r="K643" t="s">
        <v>287</v>
      </c>
      <c r="L643">
        <v>6147</v>
      </c>
      <c r="M643">
        <v>1</v>
      </c>
      <c r="N643">
        <v>0</v>
      </c>
    </row>
    <row r="644" spans="9:14" x14ac:dyDescent="0.3">
      <c r="I644" t="s">
        <v>124</v>
      </c>
      <c r="J644" s="22">
        <v>42860</v>
      </c>
      <c r="K644" t="s">
        <v>271</v>
      </c>
      <c r="L644">
        <v>6111</v>
      </c>
      <c r="M644">
        <v>2</v>
      </c>
      <c r="N644">
        <v>0</v>
      </c>
    </row>
    <row r="645" spans="9:14" x14ac:dyDescent="0.3">
      <c r="I645" t="s">
        <v>124</v>
      </c>
      <c r="J645" s="22">
        <v>42860</v>
      </c>
      <c r="K645" t="s">
        <v>286</v>
      </c>
      <c r="L645">
        <v>6146</v>
      </c>
      <c r="M645">
        <v>2</v>
      </c>
      <c r="N645">
        <v>0</v>
      </c>
    </row>
    <row r="646" spans="9:14" x14ac:dyDescent="0.3">
      <c r="I646" t="s">
        <v>124</v>
      </c>
      <c r="J646" s="22">
        <v>42878</v>
      </c>
      <c r="K646" t="s">
        <v>278</v>
      </c>
      <c r="L646">
        <v>6132</v>
      </c>
      <c r="M646">
        <v>7</v>
      </c>
      <c r="N646">
        <v>0</v>
      </c>
    </row>
    <row r="647" spans="9:14" x14ac:dyDescent="0.3">
      <c r="I647" t="s">
        <v>124</v>
      </c>
      <c r="J647" s="22">
        <v>42876</v>
      </c>
      <c r="K647" t="s">
        <v>277</v>
      </c>
      <c r="L647">
        <v>6127</v>
      </c>
      <c r="M647">
        <v>133</v>
      </c>
      <c r="N647">
        <v>1</v>
      </c>
    </row>
    <row r="648" spans="9:14" x14ac:dyDescent="0.3">
      <c r="I648" t="s">
        <v>124</v>
      </c>
      <c r="J648" s="22">
        <v>42878</v>
      </c>
      <c r="K648" t="s">
        <v>256</v>
      </c>
      <c r="L648">
        <v>6113</v>
      </c>
      <c r="M648">
        <v>45</v>
      </c>
      <c r="N648">
        <v>45</v>
      </c>
    </row>
    <row r="649" spans="9:14" x14ac:dyDescent="0.3">
      <c r="I649" t="s">
        <v>124</v>
      </c>
      <c r="J649" s="22">
        <v>42878</v>
      </c>
      <c r="K649" t="s">
        <v>260</v>
      </c>
      <c r="L649">
        <v>6114</v>
      </c>
      <c r="M649">
        <v>48</v>
      </c>
      <c r="N649">
        <v>32</v>
      </c>
    </row>
    <row r="650" spans="9:14" x14ac:dyDescent="0.3">
      <c r="I650" t="s">
        <v>124</v>
      </c>
      <c r="J650" s="22">
        <v>42876</v>
      </c>
      <c r="K650" t="s">
        <v>281</v>
      </c>
      <c r="L650">
        <v>6141</v>
      </c>
      <c r="M650">
        <v>1</v>
      </c>
      <c r="N650">
        <v>0</v>
      </c>
    </row>
    <row r="651" spans="9:14" x14ac:dyDescent="0.3">
      <c r="I651" t="s">
        <v>124</v>
      </c>
      <c r="J651" s="22">
        <v>42876</v>
      </c>
      <c r="K651" t="s">
        <v>288</v>
      </c>
      <c r="L651">
        <v>6148</v>
      </c>
      <c r="M651">
        <v>1</v>
      </c>
      <c r="N651">
        <v>0</v>
      </c>
    </row>
    <row r="652" spans="9:14" x14ac:dyDescent="0.3">
      <c r="I652" t="s">
        <v>124</v>
      </c>
      <c r="J652" s="22">
        <v>42860</v>
      </c>
      <c r="K652" t="s">
        <v>285</v>
      </c>
      <c r="L652">
        <v>6145</v>
      </c>
      <c r="M652">
        <v>4</v>
      </c>
      <c r="N652">
        <v>0</v>
      </c>
    </row>
    <row r="653" spans="9:14" x14ac:dyDescent="0.3">
      <c r="I653" t="s">
        <v>124</v>
      </c>
      <c r="J653" s="22">
        <v>42863</v>
      </c>
      <c r="K653" t="s">
        <v>268</v>
      </c>
      <c r="L653">
        <v>6106</v>
      </c>
      <c r="M653">
        <v>8889</v>
      </c>
      <c r="N653">
        <v>2120</v>
      </c>
    </row>
    <row r="654" spans="9:14" x14ac:dyDescent="0.3">
      <c r="I654" t="s">
        <v>124</v>
      </c>
      <c r="J654" s="22">
        <v>42879</v>
      </c>
      <c r="K654" t="s">
        <v>268</v>
      </c>
      <c r="L654">
        <v>6106</v>
      </c>
      <c r="M654">
        <v>11</v>
      </c>
      <c r="N654">
        <v>0</v>
      </c>
    </row>
    <row r="655" spans="9:14" x14ac:dyDescent="0.3">
      <c r="I655" t="s">
        <v>124</v>
      </c>
      <c r="J655" s="22">
        <v>42879</v>
      </c>
      <c r="K655" t="s">
        <v>277</v>
      </c>
      <c r="L655">
        <v>6127</v>
      </c>
      <c r="M655">
        <v>13</v>
      </c>
      <c r="N655">
        <v>0</v>
      </c>
    </row>
    <row r="656" spans="9:14" x14ac:dyDescent="0.3">
      <c r="I656" t="s">
        <v>124</v>
      </c>
      <c r="J656" s="22">
        <v>42863</v>
      </c>
      <c r="K656" t="s">
        <v>253</v>
      </c>
      <c r="L656">
        <v>6108</v>
      </c>
      <c r="M656">
        <v>5349</v>
      </c>
      <c r="N656">
        <v>5342</v>
      </c>
    </row>
    <row r="657" spans="9:14" x14ac:dyDescent="0.3">
      <c r="I657" t="s">
        <v>124</v>
      </c>
      <c r="J657" s="22">
        <v>42863</v>
      </c>
      <c r="K657" t="s">
        <v>263</v>
      </c>
      <c r="L657">
        <v>6120</v>
      </c>
      <c r="M657">
        <v>31</v>
      </c>
      <c r="N657">
        <v>26</v>
      </c>
    </row>
    <row r="658" spans="9:14" x14ac:dyDescent="0.3">
      <c r="I658" t="s">
        <v>124</v>
      </c>
      <c r="J658" s="22">
        <v>42863</v>
      </c>
      <c r="K658" t="s">
        <v>255</v>
      </c>
      <c r="L658">
        <v>6109</v>
      </c>
      <c r="M658">
        <v>958</v>
      </c>
      <c r="N658">
        <v>952</v>
      </c>
    </row>
    <row r="659" spans="9:14" x14ac:dyDescent="0.3">
      <c r="I659" t="s">
        <v>124</v>
      </c>
      <c r="J659" s="22">
        <v>42863</v>
      </c>
      <c r="K659" t="s">
        <v>270</v>
      </c>
      <c r="L659">
        <v>6110</v>
      </c>
      <c r="M659">
        <v>2</v>
      </c>
      <c r="N659">
        <v>2</v>
      </c>
    </row>
    <row r="660" spans="9:14" x14ac:dyDescent="0.3">
      <c r="I660" t="s">
        <v>124</v>
      </c>
      <c r="J660" s="22">
        <v>42863</v>
      </c>
      <c r="K660" t="s">
        <v>285</v>
      </c>
      <c r="L660">
        <v>6145</v>
      </c>
      <c r="M660">
        <v>1</v>
      </c>
      <c r="N660">
        <v>0</v>
      </c>
    </row>
    <row r="661" spans="9:14" x14ac:dyDescent="0.3">
      <c r="I661" t="s">
        <v>124</v>
      </c>
      <c r="J661" s="22">
        <v>42863</v>
      </c>
      <c r="K661" t="s">
        <v>283</v>
      </c>
      <c r="L661">
        <v>6143</v>
      </c>
      <c r="M661">
        <v>1</v>
      </c>
      <c r="N661">
        <v>0</v>
      </c>
    </row>
    <row r="662" spans="9:14" x14ac:dyDescent="0.3">
      <c r="I662" t="s">
        <v>124</v>
      </c>
      <c r="J662" s="22">
        <v>42864</v>
      </c>
      <c r="K662" t="s">
        <v>264</v>
      </c>
      <c r="L662">
        <v>6112</v>
      </c>
      <c r="M662">
        <v>5</v>
      </c>
      <c r="N662">
        <v>5</v>
      </c>
    </row>
    <row r="663" spans="9:14" x14ac:dyDescent="0.3">
      <c r="I663" t="s">
        <v>124</v>
      </c>
      <c r="J663" s="22">
        <v>42864</v>
      </c>
      <c r="K663" t="s">
        <v>260</v>
      </c>
      <c r="L663">
        <v>6114</v>
      </c>
      <c r="M663">
        <v>30</v>
      </c>
      <c r="N663">
        <v>23</v>
      </c>
    </row>
    <row r="664" spans="9:14" x14ac:dyDescent="0.3">
      <c r="I664" t="s">
        <v>124</v>
      </c>
      <c r="J664" s="22">
        <v>42864</v>
      </c>
      <c r="K664" t="s">
        <v>269</v>
      </c>
      <c r="L664">
        <v>6107</v>
      </c>
      <c r="M664">
        <v>501</v>
      </c>
      <c r="N664">
        <v>118</v>
      </c>
    </row>
    <row r="665" spans="9:14" x14ac:dyDescent="0.3">
      <c r="I665" t="s">
        <v>124</v>
      </c>
      <c r="J665" s="22">
        <v>42863</v>
      </c>
      <c r="K665" t="s">
        <v>290</v>
      </c>
      <c r="L665">
        <v>6150</v>
      </c>
      <c r="M665">
        <v>1</v>
      </c>
      <c r="N665">
        <v>0</v>
      </c>
    </row>
    <row r="666" spans="9:14" x14ac:dyDescent="0.3">
      <c r="I666" t="s">
        <v>124</v>
      </c>
      <c r="J666" s="22">
        <v>42865</v>
      </c>
      <c r="K666" t="s">
        <v>292</v>
      </c>
      <c r="L666">
        <v>6221</v>
      </c>
      <c r="M666">
        <v>49</v>
      </c>
      <c r="N666">
        <v>0</v>
      </c>
    </row>
    <row r="667" spans="9:14" x14ac:dyDescent="0.3">
      <c r="I667" t="s">
        <v>124</v>
      </c>
      <c r="J667" s="22">
        <v>42865</v>
      </c>
      <c r="K667" t="s">
        <v>258</v>
      </c>
      <c r="L667">
        <v>6119</v>
      </c>
      <c r="M667">
        <v>71</v>
      </c>
      <c r="N667">
        <v>71</v>
      </c>
    </row>
    <row r="668" spans="9:14" x14ac:dyDescent="0.3">
      <c r="I668" t="s">
        <v>124</v>
      </c>
      <c r="J668" s="22">
        <v>42865</v>
      </c>
      <c r="K668" t="s">
        <v>262</v>
      </c>
      <c r="L668">
        <v>6121</v>
      </c>
      <c r="M668">
        <v>14</v>
      </c>
      <c r="N668">
        <v>12</v>
      </c>
    </row>
    <row r="669" spans="9:14" x14ac:dyDescent="0.3">
      <c r="I669" t="s">
        <v>124</v>
      </c>
      <c r="J669" s="22">
        <v>42865</v>
      </c>
      <c r="K669" t="s">
        <v>256</v>
      </c>
      <c r="L669">
        <v>6113</v>
      </c>
      <c r="M669">
        <v>48</v>
      </c>
      <c r="N669">
        <v>42</v>
      </c>
    </row>
    <row r="670" spans="9:14" x14ac:dyDescent="0.3">
      <c r="I670" t="s">
        <v>124</v>
      </c>
      <c r="J670" s="22">
        <v>42864</v>
      </c>
      <c r="K670" t="s">
        <v>282</v>
      </c>
      <c r="L670">
        <v>6142</v>
      </c>
      <c r="M670">
        <v>1</v>
      </c>
      <c r="N670">
        <v>0</v>
      </c>
    </row>
    <row r="671" spans="9:14" x14ac:dyDescent="0.3">
      <c r="I671" t="s">
        <v>124</v>
      </c>
      <c r="J671" s="22">
        <v>42865</v>
      </c>
      <c r="K671" t="s">
        <v>282</v>
      </c>
      <c r="L671">
        <v>6142</v>
      </c>
      <c r="M671">
        <v>2</v>
      </c>
      <c r="N671">
        <v>0</v>
      </c>
    </row>
    <row r="672" spans="9:14" x14ac:dyDescent="0.3">
      <c r="I672" t="s">
        <v>124</v>
      </c>
      <c r="J672" s="22">
        <v>42866</v>
      </c>
      <c r="K672" t="s">
        <v>286</v>
      </c>
      <c r="L672">
        <v>6146</v>
      </c>
      <c r="M672">
        <v>4</v>
      </c>
      <c r="N672">
        <v>0</v>
      </c>
    </row>
    <row r="673" spans="9:14" x14ac:dyDescent="0.3">
      <c r="I673" t="s">
        <v>124</v>
      </c>
      <c r="J673" s="22">
        <v>42866</v>
      </c>
      <c r="K673" t="s">
        <v>261</v>
      </c>
      <c r="L673">
        <v>6117</v>
      </c>
      <c r="M673">
        <v>12</v>
      </c>
      <c r="N673">
        <v>12</v>
      </c>
    </row>
    <row r="674" spans="9:14" x14ac:dyDescent="0.3">
      <c r="I674" t="s">
        <v>124</v>
      </c>
      <c r="J674" s="22">
        <v>42866</v>
      </c>
      <c r="K674" t="s">
        <v>265</v>
      </c>
      <c r="L674">
        <v>6118</v>
      </c>
      <c r="M674">
        <v>51</v>
      </c>
      <c r="N674">
        <v>43</v>
      </c>
    </row>
    <row r="675" spans="9:14" x14ac:dyDescent="0.3">
      <c r="I675" t="s">
        <v>124</v>
      </c>
      <c r="J675" s="22">
        <v>42866</v>
      </c>
      <c r="K675" t="s">
        <v>263</v>
      </c>
      <c r="L675">
        <v>6120</v>
      </c>
      <c r="M675">
        <v>43</v>
      </c>
      <c r="N675">
        <v>29</v>
      </c>
    </row>
    <row r="676" spans="9:14" x14ac:dyDescent="0.3">
      <c r="I676" t="s">
        <v>124</v>
      </c>
      <c r="J676" s="22">
        <v>42866</v>
      </c>
      <c r="K676" t="s">
        <v>273</v>
      </c>
      <c r="L676">
        <v>6123</v>
      </c>
      <c r="M676">
        <v>11</v>
      </c>
      <c r="N676">
        <v>11</v>
      </c>
    </row>
    <row r="677" spans="9:14" x14ac:dyDescent="0.3">
      <c r="I677" t="s">
        <v>124</v>
      </c>
      <c r="J677" s="22">
        <v>42866</v>
      </c>
      <c r="K677" t="s">
        <v>274</v>
      </c>
      <c r="L677">
        <v>6124</v>
      </c>
      <c r="M677">
        <v>9</v>
      </c>
      <c r="N677">
        <v>9</v>
      </c>
    </row>
    <row r="678" spans="9:14" x14ac:dyDescent="0.3">
      <c r="I678" t="s">
        <v>124</v>
      </c>
      <c r="J678" s="22">
        <v>42866</v>
      </c>
      <c r="K678" t="s">
        <v>278</v>
      </c>
      <c r="L678">
        <v>6132</v>
      </c>
      <c r="M678">
        <v>3</v>
      </c>
      <c r="N678">
        <v>0</v>
      </c>
    </row>
    <row r="679" spans="9:14" x14ac:dyDescent="0.3">
      <c r="I679" t="s">
        <v>124</v>
      </c>
      <c r="J679" s="22">
        <v>42866</v>
      </c>
      <c r="K679" t="s">
        <v>285</v>
      </c>
      <c r="L679">
        <v>6145</v>
      </c>
      <c r="M679">
        <v>1</v>
      </c>
      <c r="N679">
        <v>0</v>
      </c>
    </row>
    <row r="680" spans="9:14" x14ac:dyDescent="0.3">
      <c r="I680" t="s">
        <v>124</v>
      </c>
      <c r="J680" s="22">
        <v>42867</v>
      </c>
      <c r="K680" t="s">
        <v>269</v>
      </c>
      <c r="L680">
        <v>6107</v>
      </c>
      <c r="M680">
        <v>465</v>
      </c>
      <c r="N680">
        <v>88</v>
      </c>
    </row>
    <row r="681" spans="9:14" x14ac:dyDescent="0.3">
      <c r="I681" t="s">
        <v>124</v>
      </c>
      <c r="J681" s="22">
        <v>42866</v>
      </c>
      <c r="K681" t="s">
        <v>254</v>
      </c>
      <c r="L681">
        <v>6133</v>
      </c>
      <c r="M681">
        <v>1</v>
      </c>
      <c r="N681">
        <v>1</v>
      </c>
    </row>
    <row r="682" spans="9:14" x14ac:dyDescent="0.3">
      <c r="I682" t="s">
        <v>124</v>
      </c>
      <c r="J682" s="22">
        <v>42867</v>
      </c>
      <c r="K682" t="s">
        <v>255</v>
      </c>
      <c r="L682">
        <v>6109</v>
      </c>
      <c r="M682">
        <v>825</v>
      </c>
      <c r="N682">
        <v>609</v>
      </c>
    </row>
    <row r="683" spans="9:14" x14ac:dyDescent="0.3">
      <c r="I683" t="s">
        <v>124</v>
      </c>
      <c r="J683" s="22">
        <v>42867</v>
      </c>
      <c r="K683" t="s">
        <v>258</v>
      </c>
      <c r="L683">
        <v>6119</v>
      </c>
      <c r="M683">
        <v>80</v>
      </c>
      <c r="N683">
        <v>67</v>
      </c>
    </row>
    <row r="684" spans="9:14" x14ac:dyDescent="0.3">
      <c r="I684" t="s">
        <v>124</v>
      </c>
      <c r="J684" s="22">
        <v>42867</v>
      </c>
      <c r="K684" t="s">
        <v>290</v>
      </c>
      <c r="L684">
        <v>6150</v>
      </c>
      <c r="M684">
        <v>1</v>
      </c>
      <c r="N684">
        <v>0</v>
      </c>
    </row>
    <row r="685" spans="9:14" x14ac:dyDescent="0.3">
      <c r="I685" t="s">
        <v>124</v>
      </c>
      <c r="J685" s="22">
        <v>42867</v>
      </c>
      <c r="K685" t="s">
        <v>288</v>
      </c>
      <c r="L685">
        <v>6148</v>
      </c>
      <c r="M685">
        <v>2</v>
      </c>
      <c r="N685">
        <v>0</v>
      </c>
    </row>
    <row r="686" spans="9:14" x14ac:dyDescent="0.3">
      <c r="I686" t="s">
        <v>124</v>
      </c>
      <c r="J686" s="22">
        <v>42868</v>
      </c>
      <c r="K686" t="s">
        <v>285</v>
      </c>
      <c r="L686">
        <v>6145</v>
      </c>
      <c r="M686">
        <v>1</v>
      </c>
      <c r="N686">
        <v>0</v>
      </c>
    </row>
    <row r="687" spans="9:14" x14ac:dyDescent="0.3">
      <c r="I687" t="s">
        <v>124</v>
      </c>
      <c r="J687" s="22">
        <v>42868</v>
      </c>
      <c r="K687" t="s">
        <v>276</v>
      </c>
      <c r="L687">
        <v>6126</v>
      </c>
      <c r="M687">
        <v>2</v>
      </c>
      <c r="N687">
        <v>0</v>
      </c>
    </row>
    <row r="688" spans="9:14" x14ac:dyDescent="0.3">
      <c r="I688" t="s">
        <v>124</v>
      </c>
      <c r="J688" s="22">
        <v>42885</v>
      </c>
      <c r="K688" t="s">
        <v>330</v>
      </c>
      <c r="L688">
        <v>6594</v>
      </c>
      <c r="M688">
        <v>50</v>
      </c>
      <c r="N688">
        <v>14</v>
      </c>
    </row>
    <row r="689" spans="9:14" x14ac:dyDescent="0.3">
      <c r="I689" t="s">
        <v>124</v>
      </c>
      <c r="J689" s="22">
        <v>42885</v>
      </c>
      <c r="K689" t="s">
        <v>324</v>
      </c>
      <c r="L689">
        <v>6591</v>
      </c>
      <c r="M689">
        <v>4</v>
      </c>
      <c r="N689">
        <v>0</v>
      </c>
    </row>
    <row r="690" spans="9:14" x14ac:dyDescent="0.3">
      <c r="I690" t="s">
        <v>124</v>
      </c>
      <c r="J690" s="22">
        <v>42885</v>
      </c>
      <c r="K690" t="s">
        <v>289</v>
      </c>
      <c r="L690">
        <v>6149</v>
      </c>
      <c r="M690">
        <v>2</v>
      </c>
      <c r="N690">
        <v>0</v>
      </c>
    </row>
    <row r="691" spans="9:14" x14ac:dyDescent="0.3">
      <c r="I691" t="s">
        <v>124</v>
      </c>
      <c r="J691" s="22">
        <v>42881</v>
      </c>
      <c r="K691" t="s">
        <v>293</v>
      </c>
      <c r="L691">
        <v>6222</v>
      </c>
      <c r="M691">
        <v>62</v>
      </c>
      <c r="N691">
        <v>0</v>
      </c>
    </row>
    <row r="692" spans="9:14" x14ac:dyDescent="0.3">
      <c r="I692" t="s">
        <v>124</v>
      </c>
      <c r="J692" s="22">
        <v>42881</v>
      </c>
      <c r="K692" t="s">
        <v>253</v>
      </c>
      <c r="L692">
        <v>6108</v>
      </c>
      <c r="M692">
        <v>3488</v>
      </c>
      <c r="N692">
        <v>3454</v>
      </c>
    </row>
    <row r="693" spans="9:14" x14ac:dyDescent="0.3">
      <c r="I693" t="s">
        <v>124</v>
      </c>
      <c r="J693" s="22">
        <v>42881</v>
      </c>
      <c r="K693" t="s">
        <v>262</v>
      </c>
      <c r="L693">
        <v>6121</v>
      </c>
      <c r="M693">
        <v>22</v>
      </c>
      <c r="N693">
        <v>15</v>
      </c>
    </row>
    <row r="694" spans="9:14" x14ac:dyDescent="0.3">
      <c r="I694" t="s">
        <v>124</v>
      </c>
      <c r="J694" s="22">
        <v>42881</v>
      </c>
      <c r="K694" t="s">
        <v>256</v>
      </c>
      <c r="L694">
        <v>6113</v>
      </c>
      <c r="M694">
        <v>52</v>
      </c>
      <c r="N694">
        <v>47</v>
      </c>
    </row>
    <row r="695" spans="9:14" x14ac:dyDescent="0.3">
      <c r="I695" t="s">
        <v>124</v>
      </c>
      <c r="J695" s="22">
        <v>42881</v>
      </c>
      <c r="K695" t="s">
        <v>273</v>
      </c>
      <c r="L695">
        <v>6123</v>
      </c>
      <c r="M695">
        <v>16</v>
      </c>
      <c r="N695">
        <v>15</v>
      </c>
    </row>
    <row r="696" spans="9:14" x14ac:dyDescent="0.3">
      <c r="I696" t="s">
        <v>124</v>
      </c>
      <c r="J696" s="22">
        <v>42881</v>
      </c>
      <c r="K696" t="s">
        <v>264</v>
      </c>
      <c r="L696">
        <v>6112</v>
      </c>
      <c r="M696">
        <v>8</v>
      </c>
      <c r="N696">
        <v>7</v>
      </c>
    </row>
    <row r="697" spans="9:14" x14ac:dyDescent="0.3">
      <c r="I697" t="s">
        <v>124</v>
      </c>
      <c r="J697" s="22">
        <v>42886</v>
      </c>
      <c r="K697" t="s">
        <v>276</v>
      </c>
      <c r="L697">
        <v>6126</v>
      </c>
      <c r="M697">
        <v>5</v>
      </c>
      <c r="N697">
        <v>0</v>
      </c>
    </row>
    <row r="698" spans="9:14" x14ac:dyDescent="0.3">
      <c r="I698" t="s">
        <v>124</v>
      </c>
      <c r="J698" s="22">
        <v>42887</v>
      </c>
      <c r="K698" t="s">
        <v>325</v>
      </c>
      <c r="L698">
        <v>6595</v>
      </c>
      <c r="M698">
        <v>50</v>
      </c>
      <c r="N698">
        <v>11</v>
      </c>
    </row>
    <row r="699" spans="9:14" x14ac:dyDescent="0.3">
      <c r="I699" t="s">
        <v>124</v>
      </c>
      <c r="J699" s="22">
        <v>42881</v>
      </c>
      <c r="K699" t="s">
        <v>289</v>
      </c>
      <c r="L699">
        <v>6149</v>
      </c>
      <c r="M699">
        <v>4</v>
      </c>
      <c r="N699">
        <v>0</v>
      </c>
    </row>
    <row r="700" spans="9:14" x14ac:dyDescent="0.3">
      <c r="I700" t="s">
        <v>124</v>
      </c>
      <c r="J700" s="22">
        <v>42881</v>
      </c>
      <c r="K700" t="s">
        <v>283</v>
      </c>
      <c r="L700">
        <v>6143</v>
      </c>
      <c r="M700">
        <v>3</v>
      </c>
      <c r="N700">
        <v>0</v>
      </c>
    </row>
    <row r="701" spans="9:14" x14ac:dyDescent="0.3">
      <c r="I701" t="s">
        <v>124</v>
      </c>
      <c r="J701" s="22">
        <v>42887</v>
      </c>
      <c r="K701" t="s">
        <v>257</v>
      </c>
      <c r="L701">
        <v>6115</v>
      </c>
      <c r="M701">
        <v>69</v>
      </c>
      <c r="N701">
        <v>68</v>
      </c>
    </row>
    <row r="702" spans="9:14" x14ac:dyDescent="0.3">
      <c r="I702" t="s">
        <v>124</v>
      </c>
      <c r="J702" s="22">
        <v>42888</v>
      </c>
      <c r="K702" t="s">
        <v>253</v>
      </c>
      <c r="L702">
        <v>6108</v>
      </c>
      <c r="M702">
        <v>3910</v>
      </c>
      <c r="N702">
        <v>3899</v>
      </c>
    </row>
    <row r="703" spans="9:14" x14ac:dyDescent="0.3">
      <c r="I703" t="s">
        <v>124</v>
      </c>
      <c r="J703" s="22">
        <v>42888</v>
      </c>
      <c r="K703" t="s">
        <v>256</v>
      </c>
      <c r="L703">
        <v>6113</v>
      </c>
      <c r="M703">
        <v>53</v>
      </c>
      <c r="N703">
        <v>52</v>
      </c>
    </row>
    <row r="704" spans="9:14" x14ac:dyDescent="0.3">
      <c r="I704" t="s">
        <v>124</v>
      </c>
      <c r="J704" s="22">
        <v>42888</v>
      </c>
      <c r="K704" t="s">
        <v>329</v>
      </c>
      <c r="L704">
        <v>6587</v>
      </c>
      <c r="M704">
        <v>780</v>
      </c>
      <c r="N704">
        <v>217</v>
      </c>
    </row>
    <row r="705" spans="9:14" x14ac:dyDescent="0.3">
      <c r="I705" t="s">
        <v>124</v>
      </c>
      <c r="J705" s="22">
        <v>42888</v>
      </c>
      <c r="K705" t="s">
        <v>323</v>
      </c>
      <c r="L705">
        <v>6588</v>
      </c>
      <c r="M705">
        <v>41</v>
      </c>
      <c r="N705">
        <v>9</v>
      </c>
    </row>
    <row r="706" spans="9:14" x14ac:dyDescent="0.3">
      <c r="I706" t="s">
        <v>124</v>
      </c>
      <c r="J706" s="22">
        <v>42888</v>
      </c>
      <c r="K706" t="s">
        <v>325</v>
      </c>
      <c r="L706">
        <v>6595</v>
      </c>
      <c r="M706">
        <v>57</v>
      </c>
      <c r="N706">
        <v>16</v>
      </c>
    </row>
    <row r="707" spans="9:14" x14ac:dyDescent="0.3">
      <c r="I707" t="s">
        <v>124</v>
      </c>
      <c r="J707" s="22">
        <v>42888</v>
      </c>
      <c r="K707" t="s">
        <v>293</v>
      </c>
      <c r="L707">
        <v>6222</v>
      </c>
      <c r="M707">
        <v>4</v>
      </c>
      <c r="N707">
        <v>0</v>
      </c>
    </row>
    <row r="708" spans="9:14" x14ac:dyDescent="0.3">
      <c r="I708" t="s">
        <v>124</v>
      </c>
      <c r="J708" s="22">
        <v>42886</v>
      </c>
      <c r="K708" t="s">
        <v>257</v>
      </c>
      <c r="L708">
        <v>6115</v>
      </c>
      <c r="M708">
        <v>81</v>
      </c>
      <c r="N708">
        <v>81</v>
      </c>
    </row>
    <row r="709" spans="9:14" x14ac:dyDescent="0.3">
      <c r="I709" t="s">
        <v>124</v>
      </c>
      <c r="J709" s="22">
        <v>42886</v>
      </c>
      <c r="K709" t="s">
        <v>265</v>
      </c>
      <c r="L709">
        <v>6118</v>
      </c>
      <c r="M709">
        <v>36</v>
      </c>
      <c r="N709">
        <v>31</v>
      </c>
    </row>
    <row r="710" spans="9:14" x14ac:dyDescent="0.3">
      <c r="I710" t="s">
        <v>124</v>
      </c>
      <c r="J710" s="22">
        <v>42862</v>
      </c>
      <c r="K710" t="s">
        <v>294</v>
      </c>
      <c r="L710">
        <v>6223</v>
      </c>
      <c r="M710">
        <v>1</v>
      </c>
      <c r="N710">
        <v>0</v>
      </c>
    </row>
    <row r="711" spans="9:14" x14ac:dyDescent="0.3">
      <c r="I711" t="s">
        <v>124</v>
      </c>
      <c r="J711" s="22">
        <v>42887</v>
      </c>
      <c r="K711" t="s">
        <v>261</v>
      </c>
      <c r="L711">
        <v>6117</v>
      </c>
      <c r="M711">
        <v>11</v>
      </c>
      <c r="N711">
        <v>11</v>
      </c>
    </row>
    <row r="712" spans="9:14" x14ac:dyDescent="0.3">
      <c r="I712" t="s">
        <v>124</v>
      </c>
      <c r="J712" s="22">
        <v>42887</v>
      </c>
      <c r="K712" t="s">
        <v>320</v>
      </c>
      <c r="L712">
        <v>6598</v>
      </c>
      <c r="M712">
        <v>2</v>
      </c>
      <c r="N712">
        <v>2</v>
      </c>
    </row>
    <row r="713" spans="9:14" x14ac:dyDescent="0.3">
      <c r="I713" t="s">
        <v>124</v>
      </c>
      <c r="J713" s="22">
        <v>42887</v>
      </c>
      <c r="K713" t="s">
        <v>254</v>
      </c>
      <c r="L713">
        <v>6133</v>
      </c>
      <c r="M713">
        <v>1</v>
      </c>
      <c r="N713">
        <v>1</v>
      </c>
    </row>
    <row r="714" spans="9:14" x14ac:dyDescent="0.3">
      <c r="I714" t="s">
        <v>124</v>
      </c>
      <c r="J714" s="22">
        <v>42887</v>
      </c>
      <c r="K714" t="s">
        <v>289</v>
      </c>
      <c r="L714">
        <v>6149</v>
      </c>
      <c r="M714">
        <v>2</v>
      </c>
      <c r="N714">
        <v>0</v>
      </c>
    </row>
    <row r="715" spans="9:14" x14ac:dyDescent="0.3">
      <c r="I715" t="s">
        <v>124</v>
      </c>
      <c r="J715" s="22">
        <v>42887</v>
      </c>
      <c r="K715" t="s">
        <v>286</v>
      </c>
      <c r="L715">
        <v>6146</v>
      </c>
      <c r="M715">
        <v>1</v>
      </c>
      <c r="N715">
        <v>0</v>
      </c>
    </row>
    <row r="716" spans="9:14" x14ac:dyDescent="0.3">
      <c r="I716" t="s">
        <v>124</v>
      </c>
      <c r="J716" s="22">
        <v>42888</v>
      </c>
      <c r="K716" t="s">
        <v>288</v>
      </c>
      <c r="L716">
        <v>6148</v>
      </c>
      <c r="M716">
        <v>3</v>
      </c>
      <c r="N716">
        <v>0</v>
      </c>
    </row>
    <row r="717" spans="9:14" x14ac:dyDescent="0.3">
      <c r="I717" t="s">
        <v>124</v>
      </c>
      <c r="J717" s="22">
        <v>42861</v>
      </c>
      <c r="K717" t="s">
        <v>288</v>
      </c>
      <c r="L717">
        <v>6148</v>
      </c>
      <c r="M717">
        <v>5</v>
      </c>
      <c r="N717">
        <v>0</v>
      </c>
    </row>
    <row r="718" spans="9:14" x14ac:dyDescent="0.3">
      <c r="I718" t="s">
        <v>124</v>
      </c>
      <c r="J718" s="22">
        <v>42861</v>
      </c>
      <c r="K718" t="s">
        <v>283</v>
      </c>
      <c r="L718">
        <v>6143</v>
      </c>
      <c r="M718">
        <v>4</v>
      </c>
      <c r="N718">
        <v>0</v>
      </c>
    </row>
    <row r="719" spans="9:14" x14ac:dyDescent="0.3">
      <c r="I719" t="s">
        <v>124</v>
      </c>
      <c r="J719" s="22">
        <v>42861</v>
      </c>
      <c r="K719" t="s">
        <v>290</v>
      </c>
      <c r="L719">
        <v>6150</v>
      </c>
      <c r="M719">
        <v>3</v>
      </c>
      <c r="N719">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tabColor theme="9" tint="0.59999389629810485"/>
  </sheetPr>
  <dimension ref="A1:BC339"/>
  <sheetViews>
    <sheetView workbookViewId="0">
      <pane ySplit="1" topLeftCell="A2" activePane="bottomLeft" state="frozen"/>
      <selection pane="bottomLeft" activeCell="AC2" sqref="AC2:AC39"/>
    </sheetView>
  </sheetViews>
  <sheetFormatPr defaultRowHeight="14.4" x14ac:dyDescent="0.3"/>
  <cols>
    <col min="1" max="1" width="9.6640625" customWidth="1"/>
    <col min="2" max="2" width="10.6640625" customWidth="1"/>
    <col min="3" max="3" width="14.6640625" customWidth="1"/>
    <col min="4" max="4" width="12.109375" customWidth="1"/>
    <col min="5" max="5" width="23.88671875" customWidth="1"/>
    <col min="6" max="6" width="13.33203125" customWidth="1"/>
    <col min="7" max="7" width="14" customWidth="1"/>
    <col min="8" max="8" width="7.5546875" style="48" bestFit="1" customWidth="1"/>
    <col min="9" max="9" width="17.5546875" customWidth="1"/>
    <col min="10" max="10" width="15.44140625" customWidth="1"/>
    <col min="11" max="11" width="7.109375" customWidth="1"/>
    <col min="12" max="12" width="20.6640625" customWidth="1"/>
    <col min="13" max="13" width="10.6640625" customWidth="1"/>
    <col min="14" max="14" width="12.33203125" customWidth="1"/>
    <col min="15" max="15" width="11.33203125" customWidth="1"/>
    <col min="16" max="16" width="16.33203125" customWidth="1"/>
    <col min="17" max="17" width="9.109375" customWidth="1"/>
    <col min="18" max="18" width="8.88671875" customWidth="1"/>
    <col min="19" max="19" width="9.5546875" customWidth="1"/>
    <col min="20" max="20" width="9.88671875" bestFit="1" customWidth="1"/>
    <col min="21" max="21" width="15.6640625" bestFit="1" customWidth="1"/>
    <col min="22" max="22" width="9.88671875" customWidth="1"/>
    <col min="23" max="23" width="23.6640625" customWidth="1"/>
    <col min="24" max="24" width="11" customWidth="1"/>
    <col min="25" max="25" width="11.6640625" customWidth="1"/>
    <col min="26" max="26" width="7.5546875" style="48" bestFit="1" customWidth="1"/>
    <col min="27" max="27" width="15.33203125" customWidth="1"/>
    <col min="28" max="28" width="13.33203125" customWidth="1"/>
    <col min="29" max="29" width="4.44140625" customWidth="1"/>
    <col min="30" max="30" width="18.5546875" customWidth="1"/>
    <col min="31" max="31" width="8.5546875" customWidth="1"/>
    <col min="32" max="32" width="10" customWidth="1"/>
    <col min="33" max="33" width="9" customWidth="1"/>
    <col min="34" max="34" width="14.109375" customWidth="1"/>
    <col min="35" max="35" width="6.88671875" customWidth="1"/>
    <col min="36" max="36" width="8.88671875" customWidth="1"/>
    <col min="37" max="37" width="9.5546875" customWidth="1"/>
    <col min="38" max="38" width="10.5546875" customWidth="1"/>
    <col min="39" max="39" width="16.88671875" style="30" bestFit="1" customWidth="1"/>
    <col min="40" max="40" width="17.109375" style="30" bestFit="1" customWidth="1"/>
    <col min="41" max="41" width="12.109375" style="30" bestFit="1" customWidth="1"/>
    <col min="42" max="42" width="12.109375" bestFit="1" customWidth="1"/>
    <col min="43" max="43" width="23.6640625" customWidth="1"/>
    <col min="44" max="44" width="13.33203125" bestFit="1" customWidth="1"/>
    <col min="45" max="45" width="14" bestFit="1" customWidth="1"/>
    <col min="46" max="46" width="6.6640625" bestFit="1" customWidth="1"/>
    <col min="47" max="47" width="17.5546875" bestFit="1" customWidth="1"/>
    <col min="48" max="48" width="15.44140625" bestFit="1" customWidth="1"/>
    <col min="49" max="49" width="6.6640625" bestFit="1" customWidth="1"/>
    <col min="50" max="50" width="20.6640625" bestFit="1" customWidth="1"/>
    <col min="51" max="51" width="10.6640625" bestFit="1" customWidth="1"/>
    <col min="52" max="52" width="12.33203125" bestFit="1" customWidth="1"/>
    <col min="53" max="53" width="11.33203125" bestFit="1" customWidth="1"/>
    <col min="54" max="54" width="16.33203125" bestFit="1" customWidth="1"/>
    <col min="55" max="55" width="9.109375" bestFit="1" customWidth="1"/>
  </cols>
  <sheetData>
    <row r="1" spans="1:55" x14ac:dyDescent="0.3">
      <c r="A1" t="s">
        <v>0</v>
      </c>
      <c r="B1" t="s">
        <v>5</v>
      </c>
      <c r="C1" t="s">
        <v>11</v>
      </c>
      <c r="D1" t="s">
        <v>1</v>
      </c>
      <c r="E1" t="s">
        <v>2</v>
      </c>
      <c r="F1" t="s">
        <v>12</v>
      </c>
      <c r="G1" t="s">
        <v>13</v>
      </c>
      <c r="H1" s="48" t="s">
        <v>14</v>
      </c>
      <c r="I1" t="s">
        <v>15</v>
      </c>
      <c r="J1" t="s">
        <v>16</v>
      </c>
      <c r="K1" t="s">
        <v>17</v>
      </c>
      <c r="L1" t="s">
        <v>18</v>
      </c>
      <c r="M1" t="s">
        <v>19</v>
      </c>
      <c r="N1" t="s">
        <v>20</v>
      </c>
      <c r="O1" t="s">
        <v>21</v>
      </c>
      <c r="P1" t="s">
        <v>22</v>
      </c>
      <c r="Q1" t="s">
        <v>23</v>
      </c>
      <c r="S1" s="17" t="s">
        <v>0</v>
      </c>
      <c r="T1" s="18" t="s">
        <v>5</v>
      </c>
      <c r="U1" s="18" t="s">
        <v>11</v>
      </c>
      <c r="V1" s="18" t="s">
        <v>1</v>
      </c>
      <c r="W1" s="18" t="s">
        <v>2</v>
      </c>
      <c r="X1" s="18" t="s">
        <v>12</v>
      </c>
      <c r="Y1" s="18" t="s">
        <v>13</v>
      </c>
      <c r="Z1" s="49" t="s">
        <v>14</v>
      </c>
      <c r="AA1" s="18" t="s">
        <v>15</v>
      </c>
      <c r="AB1" s="18" t="s">
        <v>16</v>
      </c>
      <c r="AC1" s="18" t="s">
        <v>17</v>
      </c>
      <c r="AD1" s="18" t="s">
        <v>18</v>
      </c>
      <c r="AE1" s="18" t="s">
        <v>19</v>
      </c>
      <c r="AF1" s="18" t="s">
        <v>20</v>
      </c>
      <c r="AG1" s="18" t="s">
        <v>21</v>
      </c>
      <c r="AH1" s="18" t="s">
        <v>22</v>
      </c>
      <c r="AI1" s="19" t="s">
        <v>23</v>
      </c>
      <c r="AK1" s="17" t="s">
        <v>0</v>
      </c>
      <c r="AL1" s="18" t="s">
        <v>5</v>
      </c>
      <c r="AM1" s="29" t="s">
        <v>228</v>
      </c>
      <c r="AN1" s="29" t="s">
        <v>229</v>
      </c>
      <c r="AO1" s="37" t="s">
        <v>230</v>
      </c>
      <c r="AP1" s="18" t="s">
        <v>1</v>
      </c>
      <c r="AQ1" s="18" t="s">
        <v>2</v>
      </c>
      <c r="AR1" s="35" t="s">
        <v>12</v>
      </c>
      <c r="AS1" s="35" t="s">
        <v>13</v>
      </c>
      <c r="AT1" s="35" t="s">
        <v>14</v>
      </c>
      <c r="AU1" s="35" t="s">
        <v>15</v>
      </c>
      <c r="AV1" s="35" t="s">
        <v>16</v>
      </c>
      <c r="AW1" s="35" t="s">
        <v>17</v>
      </c>
      <c r="AX1" s="35" t="s">
        <v>18</v>
      </c>
      <c r="AY1" s="35" t="s">
        <v>19</v>
      </c>
      <c r="AZ1" s="35" t="s">
        <v>20</v>
      </c>
      <c r="BA1" s="35" t="s">
        <v>21</v>
      </c>
      <c r="BB1" s="35" t="s">
        <v>22</v>
      </c>
      <c r="BC1" s="36" t="s">
        <v>23</v>
      </c>
    </row>
    <row r="2" spans="1:55" x14ac:dyDescent="0.3">
      <c r="A2" t="s">
        <v>24</v>
      </c>
      <c r="B2" s="22">
        <v>42885</v>
      </c>
      <c r="C2" s="16">
        <v>42885.458333333336</v>
      </c>
      <c r="D2">
        <v>6108</v>
      </c>
      <c r="E2" t="s">
        <v>253</v>
      </c>
      <c r="F2">
        <v>20943</v>
      </c>
      <c r="G2">
        <v>65</v>
      </c>
      <c r="H2" s="48">
        <v>322.2</v>
      </c>
      <c r="I2">
        <v>78</v>
      </c>
      <c r="J2">
        <v>0</v>
      </c>
      <c r="K2">
        <v>1.2</v>
      </c>
      <c r="L2">
        <v>0</v>
      </c>
      <c r="M2">
        <v>20045</v>
      </c>
      <c r="N2">
        <v>0</v>
      </c>
      <c r="O2">
        <v>769</v>
      </c>
      <c r="P2">
        <v>0</v>
      </c>
      <c r="Q2">
        <v>0</v>
      </c>
      <c r="S2" t="s">
        <v>24</v>
      </c>
      <c r="T2" s="22">
        <v>42885</v>
      </c>
      <c r="U2" s="46">
        <v>42885.458333333336</v>
      </c>
      <c r="V2">
        <v>6108</v>
      </c>
      <c r="W2" t="s">
        <v>253</v>
      </c>
      <c r="X2">
        <v>20943</v>
      </c>
      <c r="Y2">
        <v>65</v>
      </c>
      <c r="Z2" s="48">
        <v>322.2</v>
      </c>
      <c r="AA2">
        <v>78</v>
      </c>
      <c r="AB2">
        <v>0</v>
      </c>
      <c r="AC2">
        <v>1.2</v>
      </c>
      <c r="AD2">
        <v>0</v>
      </c>
      <c r="AE2">
        <v>20045</v>
      </c>
      <c r="AF2">
        <v>0</v>
      </c>
      <c r="AG2">
        <v>769</v>
      </c>
      <c r="AH2">
        <v>0</v>
      </c>
      <c r="AI2">
        <v>0</v>
      </c>
      <c r="AK2" t="str">
        <f>Table_ExternalData_156[[#This Row],[TestNo]]</f>
        <v>PP7 - PP15</v>
      </c>
      <c r="AL2">
        <f>Table_ExternalData_156[[#This Row],[Date]]</f>
        <v>42885</v>
      </c>
      <c r="AM2" s="30">
        <f>Table_ExternalData_156[[#This Row],[DateTime]]</f>
        <v>42885.458333333336</v>
      </c>
      <c r="AN2" s="30">
        <f t="shared" ref="AN2:AN39" si="0">U2</f>
        <v>42885.458333333336</v>
      </c>
      <c r="AO2" s="30" t="b">
        <f>IF(AND(AN2=AM2, AQ2=Table_ExternalData_156[[#This Row],[EnterpriseName]]), TRUE, FALSE)</f>
        <v>1</v>
      </c>
      <c r="AP2">
        <f>Table_ExternalData_156[[#This Row],[CallTypeID]]</f>
        <v>6108</v>
      </c>
      <c r="AQ2" t="str">
        <f>Table_ExternalData_156[[#This Row],[EnterpriseName]]</f>
        <v>CARC_CHCO_4263_SECSR</v>
      </c>
      <c r="AR2" t="b">
        <f>X2=Table_ExternalData_156[[#This Row],[HandleTime]]</f>
        <v>1</v>
      </c>
      <c r="AS2" t="b">
        <f>Y2=Table_ExternalData_156[[#This Row],[CallsHandled]]</f>
        <v>1</v>
      </c>
      <c r="AT2" t="b">
        <f>Z2=Table_ExternalData_156[[#This Row],[AHT]]</f>
        <v>1</v>
      </c>
      <c r="AU2" t="b">
        <f>AA2=Table_ExternalData_156[[#This Row],[AnswerWaitTime]]</f>
        <v>1</v>
      </c>
      <c r="AV2" t="b">
        <f>AB2=Table_ExternalData_156[[#This Row],[CallsAnswered]]</f>
        <v>1</v>
      </c>
      <c r="AW2" t="b">
        <f>AC2=Table_ExternalData_156[[#This Row],[ASA]]</f>
        <v>1</v>
      </c>
      <c r="AX2" t="b">
        <f>AD2=Table_ExternalData_156[[#This Row],[CallDelayAbandTime]]</f>
        <v>1</v>
      </c>
      <c r="AY2" t="b">
        <f>AE2=Table_ExternalData_156[[#This Row],[TalkTime]]</f>
        <v>1</v>
      </c>
      <c r="AZ2" t="b">
        <f>AF2=Table_ExternalData_156[[#This Row],[Calc_Wrap]]</f>
        <v>1</v>
      </c>
      <c r="BA2" t="b">
        <f>AG2=Table_ExternalData_156[[#This Row],[HoldTime]]</f>
        <v>1</v>
      </c>
      <c r="BB2" t="b">
        <f>AH2=Table_ExternalData_156[[#This Row],[AbandInterval1]]</f>
        <v>1</v>
      </c>
      <c r="BC2" t="b">
        <f>AI2=Table_ExternalData_156[[#This Row],[SysOut]]</f>
        <v>1</v>
      </c>
    </row>
    <row r="3" spans="1:55" x14ac:dyDescent="0.3">
      <c r="A3" t="s">
        <v>24</v>
      </c>
      <c r="B3" s="22">
        <v>42885</v>
      </c>
      <c r="C3" s="16">
        <v>42885.46875</v>
      </c>
      <c r="D3">
        <v>6108</v>
      </c>
      <c r="E3" t="s">
        <v>253</v>
      </c>
      <c r="F3">
        <v>31946</v>
      </c>
      <c r="G3">
        <v>100</v>
      </c>
      <c r="H3" s="48">
        <v>319.45999999999998</v>
      </c>
      <c r="I3">
        <v>77</v>
      </c>
      <c r="J3">
        <v>0</v>
      </c>
      <c r="K3">
        <v>0.77</v>
      </c>
      <c r="L3">
        <v>0</v>
      </c>
      <c r="M3">
        <v>30052</v>
      </c>
      <c r="N3">
        <v>0</v>
      </c>
      <c r="O3">
        <v>1699</v>
      </c>
      <c r="P3">
        <v>0</v>
      </c>
      <c r="Q3">
        <v>0</v>
      </c>
      <c r="S3" t="s">
        <v>24</v>
      </c>
      <c r="T3" s="22">
        <v>42885</v>
      </c>
      <c r="U3" s="46">
        <v>42885.46875</v>
      </c>
      <c r="V3">
        <v>6108</v>
      </c>
      <c r="W3" t="s">
        <v>253</v>
      </c>
      <c r="X3">
        <v>31946</v>
      </c>
      <c r="Y3">
        <v>100</v>
      </c>
      <c r="Z3" s="48">
        <v>319.45999999999998</v>
      </c>
      <c r="AA3">
        <v>77</v>
      </c>
      <c r="AB3">
        <v>0</v>
      </c>
      <c r="AC3">
        <v>0.77</v>
      </c>
      <c r="AD3">
        <v>0</v>
      </c>
      <c r="AE3">
        <v>30052</v>
      </c>
      <c r="AF3">
        <v>0</v>
      </c>
      <c r="AG3">
        <v>1699</v>
      </c>
      <c r="AH3">
        <v>0</v>
      </c>
      <c r="AI3">
        <v>0</v>
      </c>
      <c r="AK3" t="str">
        <f>Table_ExternalData_156[[#This Row],[TestNo]]</f>
        <v>PP7 - PP15</v>
      </c>
      <c r="AL3">
        <f>Table_ExternalData_156[[#This Row],[Date]]</f>
        <v>42885</v>
      </c>
      <c r="AM3" s="30">
        <f>Table_ExternalData_156[[#This Row],[DateTime]]</f>
        <v>42885.46875</v>
      </c>
      <c r="AN3" s="30">
        <f t="shared" si="0"/>
        <v>42885.46875</v>
      </c>
      <c r="AO3" s="30" t="b">
        <f>IF(AND(AN3=AM3, AQ3=Table_ExternalData_156[[#This Row],[EnterpriseName]]), TRUE, FALSE)</f>
        <v>1</v>
      </c>
      <c r="AP3">
        <f>Table_ExternalData_156[[#This Row],[CallTypeID]]</f>
        <v>6108</v>
      </c>
      <c r="AQ3" t="str">
        <f>Table_ExternalData_156[[#This Row],[EnterpriseName]]</f>
        <v>CARC_CHCO_4263_SECSR</v>
      </c>
      <c r="AR3" t="b">
        <f>X3=Table_ExternalData_156[[#This Row],[HandleTime]]</f>
        <v>1</v>
      </c>
      <c r="AS3" t="b">
        <f>Y3=Table_ExternalData_156[[#This Row],[CallsHandled]]</f>
        <v>1</v>
      </c>
      <c r="AT3" t="b">
        <f>Z3=Table_ExternalData_156[[#This Row],[AHT]]</f>
        <v>1</v>
      </c>
      <c r="AU3" t="b">
        <f>AA3=Table_ExternalData_156[[#This Row],[AnswerWaitTime]]</f>
        <v>1</v>
      </c>
      <c r="AV3" t="b">
        <f>AB3=Table_ExternalData_156[[#This Row],[CallsAnswered]]</f>
        <v>1</v>
      </c>
      <c r="AW3" t="b">
        <f>AC3=Table_ExternalData_156[[#This Row],[ASA]]</f>
        <v>1</v>
      </c>
      <c r="AX3" t="b">
        <f>AD3=Table_ExternalData_156[[#This Row],[CallDelayAbandTime]]</f>
        <v>1</v>
      </c>
      <c r="AY3" t="b">
        <f>AE3=Table_ExternalData_156[[#This Row],[TalkTime]]</f>
        <v>1</v>
      </c>
      <c r="AZ3" t="b">
        <f>AF3=Table_ExternalData_156[[#This Row],[Calc_Wrap]]</f>
        <v>1</v>
      </c>
      <c r="BA3" t="b">
        <f>AG3=Table_ExternalData_156[[#This Row],[HoldTime]]</f>
        <v>1</v>
      </c>
      <c r="BB3" t="b">
        <f>AH3=Table_ExternalData_156[[#This Row],[AbandInterval1]]</f>
        <v>1</v>
      </c>
      <c r="BC3" t="b">
        <f>AI3=Table_ExternalData_156[[#This Row],[SysOut]]</f>
        <v>1</v>
      </c>
    </row>
    <row r="4" spans="1:55" x14ac:dyDescent="0.3">
      <c r="A4" t="s">
        <v>24</v>
      </c>
      <c r="B4" s="22">
        <v>42885</v>
      </c>
      <c r="C4" s="16">
        <v>42885.479166666664</v>
      </c>
      <c r="D4">
        <v>6108</v>
      </c>
      <c r="E4" t="s">
        <v>253</v>
      </c>
      <c r="F4">
        <v>36147</v>
      </c>
      <c r="G4">
        <v>99</v>
      </c>
      <c r="H4" s="48">
        <v>365.12</v>
      </c>
      <c r="I4">
        <v>85</v>
      </c>
      <c r="J4">
        <v>0</v>
      </c>
      <c r="K4">
        <v>0.86</v>
      </c>
      <c r="L4">
        <v>0</v>
      </c>
      <c r="M4">
        <v>33243</v>
      </c>
      <c r="N4">
        <v>0</v>
      </c>
      <c r="O4">
        <v>2706</v>
      </c>
      <c r="P4">
        <v>0</v>
      </c>
      <c r="Q4">
        <v>0</v>
      </c>
      <c r="S4" t="s">
        <v>24</v>
      </c>
      <c r="T4" s="22">
        <v>42885</v>
      </c>
      <c r="U4" s="46">
        <v>42885.479166666664</v>
      </c>
      <c r="V4">
        <v>6108</v>
      </c>
      <c r="W4" t="s">
        <v>253</v>
      </c>
      <c r="X4">
        <v>36147</v>
      </c>
      <c r="Y4">
        <v>99</v>
      </c>
      <c r="Z4" s="48">
        <v>365.12</v>
      </c>
      <c r="AA4">
        <v>85</v>
      </c>
      <c r="AB4">
        <v>0</v>
      </c>
      <c r="AC4">
        <v>0.86</v>
      </c>
      <c r="AD4">
        <v>0</v>
      </c>
      <c r="AE4">
        <v>33243</v>
      </c>
      <c r="AF4">
        <v>0</v>
      </c>
      <c r="AG4">
        <v>2706</v>
      </c>
      <c r="AH4">
        <v>0</v>
      </c>
      <c r="AI4">
        <v>0</v>
      </c>
      <c r="AK4" t="str">
        <f>Table_ExternalData_156[[#This Row],[TestNo]]</f>
        <v>PP7 - PP15</v>
      </c>
      <c r="AL4">
        <f>Table_ExternalData_156[[#This Row],[Date]]</f>
        <v>42885</v>
      </c>
      <c r="AM4" s="30">
        <f>Table_ExternalData_156[[#This Row],[DateTime]]</f>
        <v>42885.479166666664</v>
      </c>
      <c r="AN4" s="30">
        <f t="shared" si="0"/>
        <v>42885.479166666664</v>
      </c>
      <c r="AO4" s="30" t="b">
        <f>IF(AND(AN4=AM4, AQ4=Table_ExternalData_156[[#This Row],[EnterpriseName]]), TRUE, FALSE)</f>
        <v>1</v>
      </c>
      <c r="AP4">
        <f>Table_ExternalData_156[[#This Row],[CallTypeID]]</f>
        <v>6108</v>
      </c>
      <c r="AQ4" t="str">
        <f>Table_ExternalData_156[[#This Row],[EnterpriseName]]</f>
        <v>CARC_CHCO_4263_SECSR</v>
      </c>
      <c r="AR4" t="b">
        <f>X4=Table_ExternalData_156[[#This Row],[HandleTime]]</f>
        <v>1</v>
      </c>
      <c r="AS4" t="b">
        <f>Y4=Table_ExternalData_156[[#This Row],[CallsHandled]]</f>
        <v>1</v>
      </c>
      <c r="AT4" t="b">
        <f>Z4=Table_ExternalData_156[[#This Row],[AHT]]</f>
        <v>1</v>
      </c>
      <c r="AU4" t="b">
        <f>AA4=Table_ExternalData_156[[#This Row],[AnswerWaitTime]]</f>
        <v>1</v>
      </c>
      <c r="AV4" t="b">
        <f>AB4=Table_ExternalData_156[[#This Row],[CallsAnswered]]</f>
        <v>1</v>
      </c>
      <c r="AW4" t="b">
        <f>AC4=Table_ExternalData_156[[#This Row],[ASA]]</f>
        <v>1</v>
      </c>
      <c r="AX4" t="b">
        <f>AD4=Table_ExternalData_156[[#This Row],[CallDelayAbandTime]]</f>
        <v>1</v>
      </c>
      <c r="AY4" t="b">
        <f>AE4=Table_ExternalData_156[[#This Row],[TalkTime]]</f>
        <v>1</v>
      </c>
      <c r="AZ4" t="b">
        <f>AF4=Table_ExternalData_156[[#This Row],[Calc_Wrap]]</f>
        <v>1</v>
      </c>
      <c r="BA4" t="b">
        <f>AG4=Table_ExternalData_156[[#This Row],[HoldTime]]</f>
        <v>1</v>
      </c>
      <c r="BB4" t="b">
        <f>AH4=Table_ExternalData_156[[#This Row],[AbandInterval1]]</f>
        <v>1</v>
      </c>
      <c r="BC4" t="b">
        <f>AI4=Table_ExternalData_156[[#This Row],[SysOut]]</f>
        <v>1</v>
      </c>
    </row>
    <row r="5" spans="1:55" x14ac:dyDescent="0.3">
      <c r="A5" t="s">
        <v>24</v>
      </c>
      <c r="B5" s="22">
        <v>42885</v>
      </c>
      <c r="C5" s="16">
        <v>42885.489583333336</v>
      </c>
      <c r="D5">
        <v>6108</v>
      </c>
      <c r="E5" t="s">
        <v>253</v>
      </c>
      <c r="F5">
        <v>43481</v>
      </c>
      <c r="G5">
        <v>108</v>
      </c>
      <c r="H5" s="48">
        <v>402.6</v>
      </c>
      <c r="I5">
        <v>78</v>
      </c>
      <c r="J5">
        <v>0</v>
      </c>
      <c r="K5">
        <v>0.72</v>
      </c>
      <c r="L5">
        <v>0</v>
      </c>
      <c r="M5">
        <v>40775</v>
      </c>
      <c r="N5">
        <v>0</v>
      </c>
      <c r="O5">
        <v>2491</v>
      </c>
      <c r="P5">
        <v>0</v>
      </c>
      <c r="Q5">
        <v>0</v>
      </c>
      <c r="S5" t="s">
        <v>24</v>
      </c>
      <c r="T5" s="22">
        <v>42885</v>
      </c>
      <c r="U5" s="46">
        <v>42885.489583333336</v>
      </c>
      <c r="V5">
        <v>6108</v>
      </c>
      <c r="W5" t="s">
        <v>253</v>
      </c>
      <c r="X5">
        <v>43481</v>
      </c>
      <c r="Y5">
        <v>108</v>
      </c>
      <c r="Z5" s="48">
        <v>402.6</v>
      </c>
      <c r="AA5">
        <v>78</v>
      </c>
      <c r="AB5">
        <v>0</v>
      </c>
      <c r="AC5">
        <v>0.72</v>
      </c>
      <c r="AD5">
        <v>0</v>
      </c>
      <c r="AE5">
        <v>40775</v>
      </c>
      <c r="AF5">
        <v>0</v>
      </c>
      <c r="AG5">
        <v>2491</v>
      </c>
      <c r="AH5">
        <v>0</v>
      </c>
      <c r="AI5">
        <v>0</v>
      </c>
      <c r="AK5" t="str">
        <f>Table_ExternalData_156[[#This Row],[TestNo]]</f>
        <v>PP7 - PP15</v>
      </c>
      <c r="AL5">
        <f>Table_ExternalData_156[[#This Row],[Date]]</f>
        <v>42885</v>
      </c>
      <c r="AM5" s="30">
        <f>Table_ExternalData_156[[#This Row],[DateTime]]</f>
        <v>42885.489583333336</v>
      </c>
      <c r="AN5" s="30">
        <f t="shared" si="0"/>
        <v>42885.489583333336</v>
      </c>
      <c r="AO5" s="30" t="b">
        <f>IF(AND(AN5=AM5, AQ5=Table_ExternalData_156[[#This Row],[EnterpriseName]]), TRUE, FALSE)</f>
        <v>1</v>
      </c>
      <c r="AP5">
        <f>Table_ExternalData_156[[#This Row],[CallTypeID]]</f>
        <v>6108</v>
      </c>
      <c r="AQ5" t="str">
        <f>Table_ExternalData_156[[#This Row],[EnterpriseName]]</f>
        <v>CARC_CHCO_4263_SECSR</v>
      </c>
      <c r="AR5" t="b">
        <f>X5=Table_ExternalData_156[[#This Row],[HandleTime]]</f>
        <v>1</v>
      </c>
      <c r="AS5" t="b">
        <f>Y5=Table_ExternalData_156[[#This Row],[CallsHandled]]</f>
        <v>1</v>
      </c>
      <c r="AT5" t="b">
        <f>Z5=Table_ExternalData_156[[#This Row],[AHT]]</f>
        <v>1</v>
      </c>
      <c r="AU5" t="b">
        <f>AA5=Table_ExternalData_156[[#This Row],[AnswerWaitTime]]</f>
        <v>1</v>
      </c>
      <c r="AV5" t="b">
        <f>AB5=Table_ExternalData_156[[#This Row],[CallsAnswered]]</f>
        <v>1</v>
      </c>
      <c r="AW5" t="b">
        <f>AC5=Table_ExternalData_156[[#This Row],[ASA]]</f>
        <v>1</v>
      </c>
      <c r="AX5" t="b">
        <f>AD5=Table_ExternalData_156[[#This Row],[CallDelayAbandTime]]</f>
        <v>1</v>
      </c>
      <c r="AY5" t="b">
        <f>AE5=Table_ExternalData_156[[#This Row],[TalkTime]]</f>
        <v>1</v>
      </c>
      <c r="AZ5" t="b">
        <f>AF5=Table_ExternalData_156[[#This Row],[Calc_Wrap]]</f>
        <v>1</v>
      </c>
      <c r="BA5" t="b">
        <f>AG5=Table_ExternalData_156[[#This Row],[HoldTime]]</f>
        <v>1</v>
      </c>
      <c r="BB5" t="b">
        <f>AH5=Table_ExternalData_156[[#This Row],[AbandInterval1]]</f>
        <v>1</v>
      </c>
      <c r="BC5" t="b">
        <f>AI5=Table_ExternalData_156[[#This Row],[SysOut]]</f>
        <v>1</v>
      </c>
    </row>
    <row r="6" spans="1:55" x14ac:dyDescent="0.3">
      <c r="A6" t="s">
        <v>24</v>
      </c>
      <c r="B6" s="22">
        <v>42885</v>
      </c>
      <c r="C6" s="16">
        <v>42885.5</v>
      </c>
      <c r="D6">
        <v>6108</v>
      </c>
      <c r="E6" t="s">
        <v>253</v>
      </c>
      <c r="F6">
        <v>47299</v>
      </c>
      <c r="G6">
        <v>137</v>
      </c>
      <c r="H6" s="48">
        <v>345.25</v>
      </c>
      <c r="I6">
        <v>99</v>
      </c>
      <c r="J6">
        <v>0</v>
      </c>
      <c r="K6">
        <v>0.72</v>
      </c>
      <c r="L6">
        <v>0</v>
      </c>
      <c r="M6">
        <v>45265</v>
      </c>
      <c r="N6">
        <v>0</v>
      </c>
      <c r="O6">
        <v>1757</v>
      </c>
      <c r="P6">
        <v>0</v>
      </c>
      <c r="Q6">
        <v>0</v>
      </c>
      <c r="S6" t="s">
        <v>24</v>
      </c>
      <c r="T6" s="22">
        <v>42885</v>
      </c>
      <c r="U6" s="46">
        <v>42885.5</v>
      </c>
      <c r="V6">
        <v>6108</v>
      </c>
      <c r="W6" t="s">
        <v>253</v>
      </c>
      <c r="X6">
        <v>47299</v>
      </c>
      <c r="Y6">
        <v>137</v>
      </c>
      <c r="Z6" s="48">
        <v>345.25</v>
      </c>
      <c r="AA6">
        <v>99</v>
      </c>
      <c r="AB6">
        <v>0</v>
      </c>
      <c r="AC6">
        <v>0.72</v>
      </c>
      <c r="AD6">
        <v>0</v>
      </c>
      <c r="AE6">
        <v>45265</v>
      </c>
      <c r="AF6">
        <v>0</v>
      </c>
      <c r="AG6">
        <v>1757</v>
      </c>
      <c r="AH6">
        <v>0</v>
      </c>
      <c r="AI6">
        <v>0</v>
      </c>
      <c r="AK6" t="str">
        <f>Table_ExternalData_156[[#This Row],[TestNo]]</f>
        <v>PP7 - PP15</v>
      </c>
      <c r="AL6">
        <f>Table_ExternalData_156[[#This Row],[Date]]</f>
        <v>42885</v>
      </c>
      <c r="AM6" s="30">
        <f>Table_ExternalData_156[[#This Row],[DateTime]]</f>
        <v>42885.5</v>
      </c>
      <c r="AN6" s="30">
        <f t="shared" si="0"/>
        <v>42885.5</v>
      </c>
      <c r="AO6" s="30" t="b">
        <f>IF(AND(AN6=AM6, AQ6=Table_ExternalData_156[[#This Row],[EnterpriseName]]), TRUE, FALSE)</f>
        <v>1</v>
      </c>
      <c r="AP6">
        <f>Table_ExternalData_156[[#This Row],[CallTypeID]]</f>
        <v>6108</v>
      </c>
      <c r="AQ6" t="str">
        <f>Table_ExternalData_156[[#This Row],[EnterpriseName]]</f>
        <v>CARC_CHCO_4263_SECSR</v>
      </c>
      <c r="AR6" t="b">
        <f>X6=Table_ExternalData_156[[#This Row],[HandleTime]]</f>
        <v>1</v>
      </c>
      <c r="AS6" t="b">
        <f>Y6=Table_ExternalData_156[[#This Row],[CallsHandled]]</f>
        <v>1</v>
      </c>
      <c r="AT6" t="b">
        <f>Z6=Table_ExternalData_156[[#This Row],[AHT]]</f>
        <v>1</v>
      </c>
      <c r="AU6" t="b">
        <f>AA6=Table_ExternalData_156[[#This Row],[AnswerWaitTime]]</f>
        <v>1</v>
      </c>
      <c r="AV6" t="b">
        <f>AB6=Table_ExternalData_156[[#This Row],[CallsAnswered]]</f>
        <v>1</v>
      </c>
      <c r="AW6" t="b">
        <f>AC6=Table_ExternalData_156[[#This Row],[ASA]]</f>
        <v>1</v>
      </c>
      <c r="AX6" t="b">
        <f>AD6=Table_ExternalData_156[[#This Row],[CallDelayAbandTime]]</f>
        <v>1</v>
      </c>
      <c r="AY6" t="b">
        <f>AE6=Table_ExternalData_156[[#This Row],[TalkTime]]</f>
        <v>1</v>
      </c>
      <c r="AZ6" t="b">
        <f>AF6=Table_ExternalData_156[[#This Row],[Calc_Wrap]]</f>
        <v>1</v>
      </c>
      <c r="BA6" t="b">
        <f>AG6=Table_ExternalData_156[[#This Row],[HoldTime]]</f>
        <v>1</v>
      </c>
      <c r="BB6" t="b">
        <f>AH6=Table_ExternalData_156[[#This Row],[AbandInterval1]]</f>
        <v>1</v>
      </c>
      <c r="BC6" t="b">
        <f>AI6=Table_ExternalData_156[[#This Row],[SysOut]]</f>
        <v>1</v>
      </c>
    </row>
    <row r="7" spans="1:55" x14ac:dyDescent="0.3">
      <c r="A7" t="s">
        <v>24</v>
      </c>
      <c r="B7" s="22">
        <v>42885</v>
      </c>
      <c r="C7" s="16">
        <v>42885.510416666664</v>
      </c>
      <c r="D7">
        <v>6108</v>
      </c>
      <c r="E7" t="s">
        <v>253</v>
      </c>
      <c r="F7">
        <v>44468</v>
      </c>
      <c r="G7">
        <v>121</v>
      </c>
      <c r="H7" s="48">
        <v>367.5</v>
      </c>
      <c r="I7">
        <v>101</v>
      </c>
      <c r="J7">
        <v>0</v>
      </c>
      <c r="K7">
        <v>0.83</v>
      </c>
      <c r="L7">
        <v>0</v>
      </c>
      <c r="M7">
        <v>42553</v>
      </c>
      <c r="N7">
        <v>0</v>
      </c>
      <c r="O7">
        <v>1671</v>
      </c>
      <c r="P7">
        <v>0</v>
      </c>
      <c r="Q7">
        <v>0</v>
      </c>
      <c r="S7" t="s">
        <v>24</v>
      </c>
      <c r="T7" s="22">
        <v>42885</v>
      </c>
      <c r="U7" s="46">
        <v>42885.510416666664</v>
      </c>
      <c r="V7">
        <v>6108</v>
      </c>
      <c r="W7" t="s">
        <v>253</v>
      </c>
      <c r="X7">
        <v>44468</v>
      </c>
      <c r="Y7">
        <v>121</v>
      </c>
      <c r="Z7" s="48">
        <v>367.5</v>
      </c>
      <c r="AA7">
        <v>101</v>
      </c>
      <c r="AB7">
        <v>0</v>
      </c>
      <c r="AC7">
        <v>0.83</v>
      </c>
      <c r="AD7">
        <v>0</v>
      </c>
      <c r="AE7">
        <v>42553</v>
      </c>
      <c r="AF7">
        <v>0</v>
      </c>
      <c r="AG7">
        <v>1671</v>
      </c>
      <c r="AH7">
        <v>0</v>
      </c>
      <c r="AI7">
        <v>0</v>
      </c>
      <c r="AK7" t="str">
        <f>Table_ExternalData_156[[#This Row],[TestNo]]</f>
        <v>PP7 - PP15</v>
      </c>
      <c r="AL7">
        <f>Table_ExternalData_156[[#This Row],[Date]]</f>
        <v>42885</v>
      </c>
      <c r="AM7" s="30">
        <f>Table_ExternalData_156[[#This Row],[DateTime]]</f>
        <v>42885.510416666664</v>
      </c>
      <c r="AN7" s="30">
        <f t="shared" si="0"/>
        <v>42885.510416666664</v>
      </c>
      <c r="AO7" s="30" t="b">
        <f>IF(AND(AN7=AM7, AQ7=Table_ExternalData_156[[#This Row],[EnterpriseName]]), TRUE, FALSE)</f>
        <v>1</v>
      </c>
      <c r="AP7">
        <f>Table_ExternalData_156[[#This Row],[CallTypeID]]</f>
        <v>6108</v>
      </c>
      <c r="AQ7" t="str">
        <f>Table_ExternalData_156[[#This Row],[EnterpriseName]]</f>
        <v>CARC_CHCO_4263_SECSR</v>
      </c>
      <c r="AR7" t="b">
        <f>X7=Table_ExternalData_156[[#This Row],[HandleTime]]</f>
        <v>1</v>
      </c>
      <c r="AS7" t="b">
        <f>Y7=Table_ExternalData_156[[#This Row],[CallsHandled]]</f>
        <v>1</v>
      </c>
      <c r="AT7" t="b">
        <f>Z7=Table_ExternalData_156[[#This Row],[AHT]]</f>
        <v>1</v>
      </c>
      <c r="AU7" t="b">
        <f>AA7=Table_ExternalData_156[[#This Row],[AnswerWaitTime]]</f>
        <v>1</v>
      </c>
      <c r="AV7" t="b">
        <f>AB7=Table_ExternalData_156[[#This Row],[CallsAnswered]]</f>
        <v>1</v>
      </c>
      <c r="AW7" t="b">
        <f>AC7=Table_ExternalData_156[[#This Row],[ASA]]</f>
        <v>1</v>
      </c>
      <c r="AX7" t="b">
        <f>AD7=Table_ExternalData_156[[#This Row],[CallDelayAbandTime]]</f>
        <v>1</v>
      </c>
      <c r="AY7" t="b">
        <f>AE7=Table_ExternalData_156[[#This Row],[TalkTime]]</f>
        <v>1</v>
      </c>
      <c r="AZ7" t="b">
        <f>AF7=Table_ExternalData_156[[#This Row],[Calc_Wrap]]</f>
        <v>1</v>
      </c>
      <c r="BA7" t="b">
        <f>AG7=Table_ExternalData_156[[#This Row],[HoldTime]]</f>
        <v>1</v>
      </c>
      <c r="BB7" t="b">
        <f>AH7=Table_ExternalData_156[[#This Row],[AbandInterval1]]</f>
        <v>1</v>
      </c>
      <c r="BC7" t="b">
        <f>AI7=Table_ExternalData_156[[#This Row],[SysOut]]</f>
        <v>1</v>
      </c>
    </row>
    <row r="8" spans="1:55" x14ac:dyDescent="0.3">
      <c r="A8" t="s">
        <v>24</v>
      </c>
      <c r="B8" s="22">
        <v>42885</v>
      </c>
      <c r="C8" s="16">
        <v>42885.520833333336</v>
      </c>
      <c r="D8">
        <v>6108</v>
      </c>
      <c r="E8" t="s">
        <v>253</v>
      </c>
      <c r="F8">
        <v>53968</v>
      </c>
      <c r="G8">
        <v>156</v>
      </c>
      <c r="H8" s="48">
        <v>345.95</v>
      </c>
      <c r="I8">
        <v>438</v>
      </c>
      <c r="J8">
        <v>0</v>
      </c>
      <c r="K8">
        <v>2.81</v>
      </c>
      <c r="L8">
        <v>0</v>
      </c>
      <c r="M8">
        <v>51014</v>
      </c>
      <c r="N8">
        <v>0</v>
      </c>
      <c r="O8">
        <v>2641</v>
      </c>
      <c r="P8">
        <v>0</v>
      </c>
      <c r="Q8">
        <v>0</v>
      </c>
      <c r="S8" t="s">
        <v>24</v>
      </c>
      <c r="T8" s="22">
        <v>42885</v>
      </c>
      <c r="U8" s="46">
        <v>42885.520833333336</v>
      </c>
      <c r="V8">
        <v>6108</v>
      </c>
      <c r="W8" t="s">
        <v>253</v>
      </c>
      <c r="X8">
        <v>53968</v>
      </c>
      <c r="Y8">
        <v>156</v>
      </c>
      <c r="Z8" s="48">
        <v>345.95</v>
      </c>
      <c r="AA8">
        <v>438</v>
      </c>
      <c r="AB8">
        <v>0</v>
      </c>
      <c r="AC8">
        <v>2.81</v>
      </c>
      <c r="AD8">
        <v>0</v>
      </c>
      <c r="AE8">
        <v>51014</v>
      </c>
      <c r="AF8">
        <v>0</v>
      </c>
      <c r="AG8">
        <v>2641</v>
      </c>
      <c r="AH8">
        <v>0</v>
      </c>
      <c r="AI8">
        <v>0</v>
      </c>
      <c r="AK8" t="str">
        <f>Table_ExternalData_156[[#This Row],[TestNo]]</f>
        <v>PP7 - PP15</v>
      </c>
      <c r="AL8">
        <f>Table_ExternalData_156[[#This Row],[Date]]</f>
        <v>42885</v>
      </c>
      <c r="AM8" s="30">
        <f>Table_ExternalData_156[[#This Row],[DateTime]]</f>
        <v>42885.520833333336</v>
      </c>
      <c r="AN8" s="30">
        <f t="shared" si="0"/>
        <v>42885.520833333336</v>
      </c>
      <c r="AO8" s="30" t="b">
        <f>IF(AND(AN8=AM8, AQ8=Table_ExternalData_156[[#This Row],[EnterpriseName]]), TRUE, FALSE)</f>
        <v>1</v>
      </c>
      <c r="AP8">
        <f>Table_ExternalData_156[[#This Row],[CallTypeID]]</f>
        <v>6108</v>
      </c>
      <c r="AQ8" t="str">
        <f>Table_ExternalData_156[[#This Row],[EnterpriseName]]</f>
        <v>CARC_CHCO_4263_SECSR</v>
      </c>
      <c r="AR8" t="b">
        <f>X8=Table_ExternalData_156[[#This Row],[HandleTime]]</f>
        <v>1</v>
      </c>
      <c r="AS8" t="b">
        <f>Y8=Table_ExternalData_156[[#This Row],[CallsHandled]]</f>
        <v>1</v>
      </c>
      <c r="AT8" t="b">
        <f>Z8=Table_ExternalData_156[[#This Row],[AHT]]</f>
        <v>1</v>
      </c>
      <c r="AU8" t="b">
        <f>AA8=Table_ExternalData_156[[#This Row],[AnswerWaitTime]]</f>
        <v>1</v>
      </c>
      <c r="AV8" t="b">
        <f>AB8=Table_ExternalData_156[[#This Row],[CallsAnswered]]</f>
        <v>1</v>
      </c>
      <c r="AW8" t="b">
        <f>AC8=Table_ExternalData_156[[#This Row],[ASA]]</f>
        <v>1</v>
      </c>
      <c r="AX8" t="b">
        <f>AD8=Table_ExternalData_156[[#This Row],[CallDelayAbandTime]]</f>
        <v>1</v>
      </c>
      <c r="AY8" t="b">
        <f>AE8=Table_ExternalData_156[[#This Row],[TalkTime]]</f>
        <v>1</v>
      </c>
      <c r="AZ8" t="b">
        <f>AF8=Table_ExternalData_156[[#This Row],[Calc_Wrap]]</f>
        <v>1</v>
      </c>
      <c r="BA8" t="b">
        <f>AG8=Table_ExternalData_156[[#This Row],[HoldTime]]</f>
        <v>1</v>
      </c>
      <c r="BB8" t="b">
        <f>AH8=Table_ExternalData_156[[#This Row],[AbandInterval1]]</f>
        <v>1</v>
      </c>
      <c r="BC8" t="b">
        <f>AI8=Table_ExternalData_156[[#This Row],[SysOut]]</f>
        <v>1</v>
      </c>
    </row>
    <row r="9" spans="1:55" x14ac:dyDescent="0.3">
      <c r="A9" t="s">
        <v>24</v>
      </c>
      <c r="B9" s="22">
        <v>42885</v>
      </c>
      <c r="C9" s="16">
        <v>42885.53125</v>
      </c>
      <c r="D9">
        <v>6108</v>
      </c>
      <c r="E9" t="s">
        <v>253</v>
      </c>
      <c r="F9">
        <v>59284</v>
      </c>
      <c r="G9">
        <v>167</v>
      </c>
      <c r="H9" s="48">
        <v>354.99</v>
      </c>
      <c r="I9">
        <v>4417</v>
      </c>
      <c r="J9">
        <v>0</v>
      </c>
      <c r="K9">
        <v>26.45</v>
      </c>
      <c r="L9">
        <v>0</v>
      </c>
      <c r="M9">
        <v>57541</v>
      </c>
      <c r="N9">
        <v>0</v>
      </c>
      <c r="O9">
        <v>1415</v>
      </c>
      <c r="P9">
        <v>0</v>
      </c>
      <c r="Q9">
        <v>0</v>
      </c>
      <c r="S9" t="s">
        <v>24</v>
      </c>
      <c r="T9" s="22">
        <v>42885</v>
      </c>
      <c r="U9" s="46">
        <v>42885.53125</v>
      </c>
      <c r="V9">
        <v>6108</v>
      </c>
      <c r="W9" t="s">
        <v>253</v>
      </c>
      <c r="X9">
        <v>59284</v>
      </c>
      <c r="Y9">
        <v>167</v>
      </c>
      <c r="Z9" s="48">
        <v>354.99</v>
      </c>
      <c r="AA9">
        <v>4417</v>
      </c>
      <c r="AB9">
        <v>0</v>
      </c>
      <c r="AC9">
        <v>26.45</v>
      </c>
      <c r="AD9">
        <v>0</v>
      </c>
      <c r="AE9">
        <v>57541</v>
      </c>
      <c r="AF9">
        <v>0</v>
      </c>
      <c r="AG9">
        <v>1415</v>
      </c>
      <c r="AH9">
        <v>0</v>
      </c>
      <c r="AI9">
        <v>0</v>
      </c>
      <c r="AK9" t="str">
        <f>Table_ExternalData_156[[#This Row],[TestNo]]</f>
        <v>PP7 - PP15</v>
      </c>
      <c r="AL9">
        <f>Table_ExternalData_156[[#This Row],[Date]]</f>
        <v>42885</v>
      </c>
      <c r="AM9" s="30">
        <f>Table_ExternalData_156[[#This Row],[DateTime]]</f>
        <v>42885.53125</v>
      </c>
      <c r="AN9" s="30">
        <f t="shared" si="0"/>
        <v>42885.53125</v>
      </c>
      <c r="AO9" s="30" t="b">
        <f>IF(AND(AN9=AM9, AQ9=Table_ExternalData_156[[#This Row],[EnterpriseName]]), TRUE, FALSE)</f>
        <v>1</v>
      </c>
      <c r="AP9">
        <f>Table_ExternalData_156[[#This Row],[CallTypeID]]</f>
        <v>6108</v>
      </c>
      <c r="AQ9" t="str">
        <f>Table_ExternalData_156[[#This Row],[EnterpriseName]]</f>
        <v>CARC_CHCO_4263_SECSR</v>
      </c>
      <c r="AR9" t="b">
        <f>X9=Table_ExternalData_156[[#This Row],[HandleTime]]</f>
        <v>1</v>
      </c>
      <c r="AS9" t="b">
        <f>Y9=Table_ExternalData_156[[#This Row],[CallsHandled]]</f>
        <v>1</v>
      </c>
      <c r="AT9" t="b">
        <f>Z9=Table_ExternalData_156[[#This Row],[AHT]]</f>
        <v>1</v>
      </c>
      <c r="AU9" t="b">
        <f>AA9=Table_ExternalData_156[[#This Row],[AnswerWaitTime]]</f>
        <v>1</v>
      </c>
      <c r="AV9" t="b">
        <f>AB9=Table_ExternalData_156[[#This Row],[CallsAnswered]]</f>
        <v>1</v>
      </c>
      <c r="AW9" t="b">
        <f>AC9=Table_ExternalData_156[[#This Row],[ASA]]</f>
        <v>1</v>
      </c>
      <c r="AX9" t="b">
        <f>AD9=Table_ExternalData_156[[#This Row],[CallDelayAbandTime]]</f>
        <v>1</v>
      </c>
      <c r="AY9" t="b">
        <f>AE9=Table_ExternalData_156[[#This Row],[TalkTime]]</f>
        <v>1</v>
      </c>
      <c r="AZ9" t="b">
        <f>AF9=Table_ExternalData_156[[#This Row],[Calc_Wrap]]</f>
        <v>1</v>
      </c>
      <c r="BA9" t="b">
        <f>AG9=Table_ExternalData_156[[#This Row],[HoldTime]]</f>
        <v>1</v>
      </c>
      <c r="BB9" t="b">
        <f>AH9=Table_ExternalData_156[[#This Row],[AbandInterval1]]</f>
        <v>1</v>
      </c>
      <c r="BC9" t="b">
        <f>AI9=Table_ExternalData_156[[#This Row],[SysOut]]</f>
        <v>1</v>
      </c>
    </row>
    <row r="10" spans="1:55" x14ac:dyDescent="0.3">
      <c r="A10" t="s">
        <v>24</v>
      </c>
      <c r="B10" s="22">
        <v>42885</v>
      </c>
      <c r="C10" s="16">
        <v>42885.541666666664</v>
      </c>
      <c r="D10">
        <v>6108</v>
      </c>
      <c r="E10" t="s">
        <v>253</v>
      </c>
      <c r="F10">
        <v>50060</v>
      </c>
      <c r="G10">
        <v>121</v>
      </c>
      <c r="H10" s="48">
        <v>413.72</v>
      </c>
      <c r="I10">
        <v>23995</v>
      </c>
      <c r="J10">
        <v>0</v>
      </c>
      <c r="K10">
        <v>198.31</v>
      </c>
      <c r="L10">
        <v>2836</v>
      </c>
      <c r="M10">
        <v>46258</v>
      </c>
      <c r="N10">
        <v>0</v>
      </c>
      <c r="O10">
        <v>3560</v>
      </c>
      <c r="P10">
        <v>0</v>
      </c>
      <c r="Q10">
        <v>0</v>
      </c>
      <c r="S10" t="s">
        <v>24</v>
      </c>
      <c r="T10" s="22">
        <v>42885</v>
      </c>
      <c r="U10" s="46">
        <v>42885.541666666664</v>
      </c>
      <c r="V10">
        <v>6108</v>
      </c>
      <c r="W10" t="s">
        <v>253</v>
      </c>
      <c r="X10">
        <v>50060</v>
      </c>
      <c r="Y10">
        <v>121</v>
      </c>
      <c r="Z10" s="48">
        <v>413.72</v>
      </c>
      <c r="AA10">
        <v>23995</v>
      </c>
      <c r="AB10">
        <v>0</v>
      </c>
      <c r="AC10">
        <v>198.31</v>
      </c>
      <c r="AD10">
        <v>2836</v>
      </c>
      <c r="AE10">
        <v>46258</v>
      </c>
      <c r="AF10">
        <v>0</v>
      </c>
      <c r="AG10">
        <v>3560</v>
      </c>
      <c r="AH10">
        <v>0</v>
      </c>
      <c r="AI10">
        <v>0</v>
      </c>
      <c r="AK10" t="str">
        <f>Table_ExternalData_156[[#This Row],[TestNo]]</f>
        <v>PP7 - PP15</v>
      </c>
      <c r="AL10">
        <f>Table_ExternalData_156[[#This Row],[Date]]</f>
        <v>42885</v>
      </c>
      <c r="AM10" s="30">
        <f>Table_ExternalData_156[[#This Row],[DateTime]]</f>
        <v>42885.541666666664</v>
      </c>
      <c r="AN10" s="30">
        <f t="shared" si="0"/>
        <v>42885.541666666664</v>
      </c>
      <c r="AO10" s="30" t="b">
        <f>IF(AND(AN10=AM10, AQ10=Table_ExternalData_156[[#This Row],[EnterpriseName]]), TRUE, FALSE)</f>
        <v>1</v>
      </c>
      <c r="AP10">
        <f>Table_ExternalData_156[[#This Row],[CallTypeID]]</f>
        <v>6108</v>
      </c>
      <c r="AQ10" t="str">
        <f>Table_ExternalData_156[[#This Row],[EnterpriseName]]</f>
        <v>CARC_CHCO_4263_SECSR</v>
      </c>
      <c r="AR10" t="b">
        <f>X10=Table_ExternalData_156[[#This Row],[HandleTime]]</f>
        <v>1</v>
      </c>
      <c r="AS10" t="b">
        <f>Y10=Table_ExternalData_156[[#This Row],[CallsHandled]]</f>
        <v>1</v>
      </c>
      <c r="AT10" t="b">
        <f>Z10=Table_ExternalData_156[[#This Row],[AHT]]</f>
        <v>1</v>
      </c>
      <c r="AU10" t="b">
        <f>AA10=Table_ExternalData_156[[#This Row],[AnswerWaitTime]]</f>
        <v>1</v>
      </c>
      <c r="AV10" t="b">
        <f>AB10=Table_ExternalData_156[[#This Row],[CallsAnswered]]</f>
        <v>1</v>
      </c>
      <c r="AW10" t="b">
        <f>AC10=Table_ExternalData_156[[#This Row],[ASA]]</f>
        <v>1</v>
      </c>
      <c r="AX10" t="b">
        <f>AD10=Table_ExternalData_156[[#This Row],[CallDelayAbandTime]]</f>
        <v>1</v>
      </c>
      <c r="AY10" t="b">
        <f>AE10=Table_ExternalData_156[[#This Row],[TalkTime]]</f>
        <v>1</v>
      </c>
      <c r="AZ10" t="b">
        <f>AF10=Table_ExternalData_156[[#This Row],[Calc_Wrap]]</f>
        <v>1</v>
      </c>
      <c r="BA10" t="b">
        <f>AG10=Table_ExternalData_156[[#This Row],[HoldTime]]</f>
        <v>1</v>
      </c>
      <c r="BB10" t="b">
        <f>AH10=Table_ExternalData_156[[#This Row],[AbandInterval1]]</f>
        <v>1</v>
      </c>
      <c r="BC10" t="b">
        <f>AI10=Table_ExternalData_156[[#This Row],[SysOut]]</f>
        <v>1</v>
      </c>
    </row>
    <row r="11" spans="1:55" x14ac:dyDescent="0.3">
      <c r="A11" t="s">
        <v>24</v>
      </c>
      <c r="B11" s="22">
        <v>42885</v>
      </c>
      <c r="C11" s="16">
        <v>42885.552083333336</v>
      </c>
      <c r="D11">
        <v>6108</v>
      </c>
      <c r="E11" t="s">
        <v>253</v>
      </c>
      <c r="F11">
        <v>65132</v>
      </c>
      <c r="G11">
        <v>153</v>
      </c>
      <c r="H11" s="48">
        <v>425.7</v>
      </c>
      <c r="I11">
        <v>33570</v>
      </c>
      <c r="J11">
        <v>0</v>
      </c>
      <c r="K11">
        <v>219.41</v>
      </c>
      <c r="L11">
        <v>2343</v>
      </c>
      <c r="M11">
        <v>62307</v>
      </c>
      <c r="N11">
        <v>0</v>
      </c>
      <c r="O11">
        <v>2525</v>
      </c>
      <c r="P11">
        <v>0</v>
      </c>
      <c r="Q11">
        <v>1</v>
      </c>
      <c r="S11" t="s">
        <v>24</v>
      </c>
      <c r="T11" s="22">
        <v>42885</v>
      </c>
      <c r="U11" s="46">
        <v>42885.552083333336</v>
      </c>
      <c r="V11">
        <v>6108</v>
      </c>
      <c r="W11" t="s">
        <v>253</v>
      </c>
      <c r="X11">
        <v>65132</v>
      </c>
      <c r="Y11">
        <v>153</v>
      </c>
      <c r="Z11" s="48">
        <v>425.7</v>
      </c>
      <c r="AA11">
        <v>33570</v>
      </c>
      <c r="AB11">
        <v>0</v>
      </c>
      <c r="AC11">
        <v>219.41</v>
      </c>
      <c r="AD11">
        <v>2343</v>
      </c>
      <c r="AE11">
        <v>62307</v>
      </c>
      <c r="AF11">
        <v>0</v>
      </c>
      <c r="AG11">
        <v>2525</v>
      </c>
      <c r="AH11">
        <v>0</v>
      </c>
      <c r="AI11">
        <v>1</v>
      </c>
      <c r="AK11" t="str">
        <f>Table_ExternalData_156[[#This Row],[TestNo]]</f>
        <v>PP7 - PP15</v>
      </c>
      <c r="AL11">
        <f>Table_ExternalData_156[[#This Row],[Date]]</f>
        <v>42885</v>
      </c>
      <c r="AM11" s="30">
        <f>Table_ExternalData_156[[#This Row],[DateTime]]</f>
        <v>42885.552083333336</v>
      </c>
      <c r="AN11" s="30">
        <f t="shared" si="0"/>
        <v>42885.552083333336</v>
      </c>
      <c r="AO11" s="30" t="b">
        <f>IF(AND(AN11=AM11, AQ11=Table_ExternalData_156[[#This Row],[EnterpriseName]]), TRUE, FALSE)</f>
        <v>1</v>
      </c>
      <c r="AP11">
        <f>Table_ExternalData_156[[#This Row],[CallTypeID]]</f>
        <v>6108</v>
      </c>
      <c r="AQ11" t="str">
        <f>Table_ExternalData_156[[#This Row],[EnterpriseName]]</f>
        <v>CARC_CHCO_4263_SECSR</v>
      </c>
      <c r="AR11" t="b">
        <f>X11=Table_ExternalData_156[[#This Row],[HandleTime]]</f>
        <v>1</v>
      </c>
      <c r="AS11" t="b">
        <f>Y11=Table_ExternalData_156[[#This Row],[CallsHandled]]</f>
        <v>1</v>
      </c>
      <c r="AT11" t="b">
        <f>Z11=Table_ExternalData_156[[#This Row],[AHT]]</f>
        <v>1</v>
      </c>
      <c r="AU11" t="b">
        <f>AA11=Table_ExternalData_156[[#This Row],[AnswerWaitTime]]</f>
        <v>1</v>
      </c>
      <c r="AV11" t="b">
        <f>AB11=Table_ExternalData_156[[#This Row],[CallsAnswered]]</f>
        <v>1</v>
      </c>
      <c r="AW11" t="b">
        <f>AC11=Table_ExternalData_156[[#This Row],[ASA]]</f>
        <v>1</v>
      </c>
      <c r="AX11" t="b">
        <f>AD11=Table_ExternalData_156[[#This Row],[CallDelayAbandTime]]</f>
        <v>1</v>
      </c>
      <c r="AY11" t="b">
        <f>AE11=Table_ExternalData_156[[#This Row],[TalkTime]]</f>
        <v>1</v>
      </c>
      <c r="AZ11" t="b">
        <f>AF11=Table_ExternalData_156[[#This Row],[Calc_Wrap]]</f>
        <v>1</v>
      </c>
      <c r="BA11" t="b">
        <f>AG11=Table_ExternalData_156[[#This Row],[HoldTime]]</f>
        <v>1</v>
      </c>
      <c r="BB11" t="b">
        <f>AH11=Table_ExternalData_156[[#This Row],[AbandInterval1]]</f>
        <v>1</v>
      </c>
      <c r="BC11" t="b">
        <f>AI11=Table_ExternalData_156[[#This Row],[SysOut]]</f>
        <v>1</v>
      </c>
    </row>
    <row r="12" spans="1:55" x14ac:dyDescent="0.3">
      <c r="A12" t="s">
        <v>24</v>
      </c>
      <c r="B12" s="22">
        <v>42885</v>
      </c>
      <c r="C12" s="16">
        <v>42885.5625</v>
      </c>
      <c r="D12">
        <v>6108</v>
      </c>
      <c r="E12" t="s">
        <v>253</v>
      </c>
      <c r="F12">
        <v>54037</v>
      </c>
      <c r="G12">
        <v>140</v>
      </c>
      <c r="H12" s="48">
        <v>385.98</v>
      </c>
      <c r="I12">
        <v>29442</v>
      </c>
      <c r="J12">
        <v>0</v>
      </c>
      <c r="K12">
        <v>210.3</v>
      </c>
      <c r="L12">
        <v>3759</v>
      </c>
      <c r="M12">
        <v>51009</v>
      </c>
      <c r="N12">
        <v>0</v>
      </c>
      <c r="O12">
        <v>2750</v>
      </c>
      <c r="P12">
        <v>0</v>
      </c>
      <c r="Q12">
        <v>0</v>
      </c>
      <c r="S12" t="s">
        <v>24</v>
      </c>
      <c r="T12" s="22">
        <v>42885</v>
      </c>
      <c r="U12" s="46">
        <v>42885.5625</v>
      </c>
      <c r="V12">
        <v>6108</v>
      </c>
      <c r="W12" t="s">
        <v>253</v>
      </c>
      <c r="X12">
        <v>54037</v>
      </c>
      <c r="Y12">
        <v>140</v>
      </c>
      <c r="Z12" s="48">
        <v>385.98</v>
      </c>
      <c r="AA12">
        <v>29442</v>
      </c>
      <c r="AB12">
        <v>0</v>
      </c>
      <c r="AC12">
        <v>210.3</v>
      </c>
      <c r="AD12">
        <v>3759</v>
      </c>
      <c r="AE12">
        <v>51009</v>
      </c>
      <c r="AF12">
        <v>0</v>
      </c>
      <c r="AG12">
        <v>2750</v>
      </c>
      <c r="AH12">
        <v>0</v>
      </c>
      <c r="AI12">
        <v>0</v>
      </c>
      <c r="AK12" t="str">
        <f>Table_ExternalData_156[[#This Row],[TestNo]]</f>
        <v>PP7 - PP15</v>
      </c>
      <c r="AL12">
        <f>Table_ExternalData_156[[#This Row],[Date]]</f>
        <v>42885</v>
      </c>
      <c r="AM12" s="30">
        <f>Table_ExternalData_156[[#This Row],[DateTime]]</f>
        <v>42885.5625</v>
      </c>
      <c r="AN12" s="30">
        <f t="shared" si="0"/>
        <v>42885.5625</v>
      </c>
      <c r="AO12" s="30" t="b">
        <f>IF(AND(AN12=AM12, AQ12=Table_ExternalData_156[[#This Row],[EnterpriseName]]), TRUE, FALSE)</f>
        <v>1</v>
      </c>
      <c r="AP12">
        <f>Table_ExternalData_156[[#This Row],[CallTypeID]]</f>
        <v>6108</v>
      </c>
      <c r="AQ12" t="str">
        <f>Table_ExternalData_156[[#This Row],[EnterpriseName]]</f>
        <v>CARC_CHCO_4263_SECSR</v>
      </c>
      <c r="AR12" t="b">
        <f>X12=Table_ExternalData_156[[#This Row],[HandleTime]]</f>
        <v>1</v>
      </c>
      <c r="AS12" t="b">
        <f>Y12=Table_ExternalData_156[[#This Row],[CallsHandled]]</f>
        <v>1</v>
      </c>
      <c r="AT12" t="b">
        <f>Z12=Table_ExternalData_156[[#This Row],[AHT]]</f>
        <v>1</v>
      </c>
      <c r="AU12" t="b">
        <f>AA12=Table_ExternalData_156[[#This Row],[AnswerWaitTime]]</f>
        <v>1</v>
      </c>
      <c r="AV12" t="b">
        <f>AB12=Table_ExternalData_156[[#This Row],[CallsAnswered]]</f>
        <v>1</v>
      </c>
      <c r="AW12" t="b">
        <f>AC12=Table_ExternalData_156[[#This Row],[ASA]]</f>
        <v>1</v>
      </c>
      <c r="AX12" t="b">
        <f>AD12=Table_ExternalData_156[[#This Row],[CallDelayAbandTime]]</f>
        <v>1</v>
      </c>
      <c r="AY12" t="b">
        <f>AE12=Table_ExternalData_156[[#This Row],[TalkTime]]</f>
        <v>1</v>
      </c>
      <c r="AZ12" t="b">
        <f>AF12=Table_ExternalData_156[[#This Row],[Calc_Wrap]]</f>
        <v>1</v>
      </c>
      <c r="BA12" t="b">
        <f>AG12=Table_ExternalData_156[[#This Row],[HoldTime]]</f>
        <v>1</v>
      </c>
      <c r="BB12" t="b">
        <f>AH12=Table_ExternalData_156[[#This Row],[AbandInterval1]]</f>
        <v>1</v>
      </c>
      <c r="BC12" t="b">
        <f>AI12=Table_ExternalData_156[[#This Row],[SysOut]]</f>
        <v>1</v>
      </c>
    </row>
    <row r="13" spans="1:55" x14ac:dyDescent="0.3">
      <c r="A13" t="s">
        <v>24</v>
      </c>
      <c r="B13" s="22">
        <v>42885</v>
      </c>
      <c r="C13" s="16">
        <v>42885.572916666664</v>
      </c>
      <c r="D13">
        <v>6108</v>
      </c>
      <c r="E13" t="s">
        <v>253</v>
      </c>
      <c r="F13">
        <v>63065</v>
      </c>
      <c r="G13">
        <v>159</v>
      </c>
      <c r="H13" s="48">
        <v>396.64</v>
      </c>
      <c r="I13">
        <v>23707</v>
      </c>
      <c r="J13">
        <v>0</v>
      </c>
      <c r="K13">
        <v>149.1</v>
      </c>
      <c r="L13">
        <v>1784</v>
      </c>
      <c r="M13">
        <v>60021</v>
      </c>
      <c r="N13">
        <v>0</v>
      </c>
      <c r="O13">
        <v>2724</v>
      </c>
      <c r="P13">
        <v>0</v>
      </c>
      <c r="Q13">
        <v>3</v>
      </c>
      <c r="S13" t="s">
        <v>24</v>
      </c>
      <c r="T13" s="22">
        <v>42885</v>
      </c>
      <c r="U13" s="46">
        <v>42885.572916666664</v>
      </c>
      <c r="V13">
        <v>6108</v>
      </c>
      <c r="W13" t="s">
        <v>253</v>
      </c>
      <c r="X13">
        <v>63065</v>
      </c>
      <c r="Y13">
        <v>159</v>
      </c>
      <c r="Z13" s="48">
        <v>396.64</v>
      </c>
      <c r="AA13">
        <v>23707</v>
      </c>
      <c r="AB13">
        <v>0</v>
      </c>
      <c r="AC13">
        <v>149.1</v>
      </c>
      <c r="AD13">
        <v>1784</v>
      </c>
      <c r="AE13">
        <v>60021</v>
      </c>
      <c r="AF13">
        <v>0</v>
      </c>
      <c r="AG13">
        <v>2724</v>
      </c>
      <c r="AH13">
        <v>0</v>
      </c>
      <c r="AI13">
        <v>3</v>
      </c>
      <c r="AK13" t="str">
        <f>Table_ExternalData_156[[#This Row],[TestNo]]</f>
        <v>PP7 - PP15</v>
      </c>
      <c r="AL13">
        <f>Table_ExternalData_156[[#This Row],[Date]]</f>
        <v>42885</v>
      </c>
      <c r="AM13" s="30">
        <f>Table_ExternalData_156[[#This Row],[DateTime]]</f>
        <v>42885.572916666664</v>
      </c>
      <c r="AN13" s="30">
        <f t="shared" si="0"/>
        <v>42885.572916666664</v>
      </c>
      <c r="AO13" s="30" t="b">
        <f>IF(AND(AN13=AM13, AQ13=Table_ExternalData_156[[#This Row],[EnterpriseName]]), TRUE, FALSE)</f>
        <v>1</v>
      </c>
      <c r="AP13">
        <f>Table_ExternalData_156[[#This Row],[CallTypeID]]</f>
        <v>6108</v>
      </c>
      <c r="AQ13" t="str">
        <f>Table_ExternalData_156[[#This Row],[EnterpriseName]]</f>
        <v>CARC_CHCO_4263_SECSR</v>
      </c>
      <c r="AR13" t="b">
        <f>X13=Table_ExternalData_156[[#This Row],[HandleTime]]</f>
        <v>1</v>
      </c>
      <c r="AS13" t="b">
        <f>Y13=Table_ExternalData_156[[#This Row],[CallsHandled]]</f>
        <v>1</v>
      </c>
      <c r="AT13" t="b">
        <f>Z13=Table_ExternalData_156[[#This Row],[AHT]]</f>
        <v>1</v>
      </c>
      <c r="AU13" t="b">
        <f>AA13=Table_ExternalData_156[[#This Row],[AnswerWaitTime]]</f>
        <v>1</v>
      </c>
      <c r="AV13" t="b">
        <f>AB13=Table_ExternalData_156[[#This Row],[CallsAnswered]]</f>
        <v>1</v>
      </c>
      <c r="AW13" t="b">
        <f>AC13=Table_ExternalData_156[[#This Row],[ASA]]</f>
        <v>1</v>
      </c>
      <c r="AX13" t="b">
        <f>AD13=Table_ExternalData_156[[#This Row],[CallDelayAbandTime]]</f>
        <v>1</v>
      </c>
      <c r="AY13" t="b">
        <f>AE13=Table_ExternalData_156[[#This Row],[TalkTime]]</f>
        <v>1</v>
      </c>
      <c r="AZ13" t="b">
        <f>AF13=Table_ExternalData_156[[#This Row],[Calc_Wrap]]</f>
        <v>1</v>
      </c>
      <c r="BA13" t="b">
        <f>AG13=Table_ExternalData_156[[#This Row],[HoldTime]]</f>
        <v>1</v>
      </c>
      <c r="BB13" t="b">
        <f>AH13=Table_ExternalData_156[[#This Row],[AbandInterval1]]</f>
        <v>1</v>
      </c>
      <c r="BC13" t="b">
        <f>AI13=Table_ExternalData_156[[#This Row],[SysOut]]</f>
        <v>1</v>
      </c>
    </row>
    <row r="14" spans="1:55" x14ac:dyDescent="0.3">
      <c r="A14" t="s">
        <v>24</v>
      </c>
      <c r="B14" s="22">
        <v>42885</v>
      </c>
      <c r="C14" s="16">
        <v>42885.583333333336</v>
      </c>
      <c r="D14">
        <v>6108</v>
      </c>
      <c r="E14" t="s">
        <v>253</v>
      </c>
      <c r="F14">
        <v>48098</v>
      </c>
      <c r="G14">
        <v>124</v>
      </c>
      <c r="H14" s="48">
        <v>387.89</v>
      </c>
      <c r="I14">
        <v>21731</v>
      </c>
      <c r="J14">
        <v>0</v>
      </c>
      <c r="K14">
        <v>175.25</v>
      </c>
      <c r="L14">
        <v>2449</v>
      </c>
      <c r="M14">
        <v>45765</v>
      </c>
      <c r="N14">
        <v>129</v>
      </c>
      <c r="O14">
        <v>2083</v>
      </c>
      <c r="P14">
        <v>0</v>
      </c>
      <c r="Q14">
        <v>0</v>
      </c>
      <c r="S14" t="s">
        <v>24</v>
      </c>
      <c r="T14" s="22">
        <v>42885</v>
      </c>
      <c r="U14" s="46">
        <v>42885.583333333336</v>
      </c>
      <c r="V14">
        <v>6108</v>
      </c>
      <c r="W14" t="s">
        <v>253</v>
      </c>
      <c r="X14">
        <v>48098</v>
      </c>
      <c r="Y14">
        <v>124</v>
      </c>
      <c r="Z14" s="48">
        <v>387.89</v>
      </c>
      <c r="AA14">
        <v>21731</v>
      </c>
      <c r="AB14">
        <v>0</v>
      </c>
      <c r="AC14">
        <v>175.25</v>
      </c>
      <c r="AD14">
        <v>2449</v>
      </c>
      <c r="AE14">
        <v>45765</v>
      </c>
      <c r="AF14">
        <v>129</v>
      </c>
      <c r="AG14">
        <v>2083</v>
      </c>
      <c r="AH14">
        <v>0</v>
      </c>
      <c r="AI14">
        <v>0</v>
      </c>
      <c r="AK14" t="str">
        <f>Table_ExternalData_156[[#This Row],[TestNo]]</f>
        <v>PP7 - PP15</v>
      </c>
      <c r="AL14">
        <f>Table_ExternalData_156[[#This Row],[Date]]</f>
        <v>42885</v>
      </c>
      <c r="AM14" s="30">
        <f>Table_ExternalData_156[[#This Row],[DateTime]]</f>
        <v>42885.583333333336</v>
      </c>
      <c r="AN14" s="30">
        <f t="shared" si="0"/>
        <v>42885.583333333336</v>
      </c>
      <c r="AO14" s="30" t="b">
        <f>IF(AND(AN14=AM14, AQ14=Table_ExternalData_156[[#This Row],[EnterpriseName]]), TRUE, FALSE)</f>
        <v>1</v>
      </c>
      <c r="AP14">
        <f>Table_ExternalData_156[[#This Row],[CallTypeID]]</f>
        <v>6108</v>
      </c>
      <c r="AQ14" t="str">
        <f>Table_ExternalData_156[[#This Row],[EnterpriseName]]</f>
        <v>CARC_CHCO_4263_SECSR</v>
      </c>
      <c r="AR14" t="b">
        <f>X14=Table_ExternalData_156[[#This Row],[HandleTime]]</f>
        <v>1</v>
      </c>
      <c r="AS14" t="b">
        <f>Y14=Table_ExternalData_156[[#This Row],[CallsHandled]]</f>
        <v>1</v>
      </c>
      <c r="AT14" t="b">
        <f>Z14=Table_ExternalData_156[[#This Row],[AHT]]</f>
        <v>1</v>
      </c>
      <c r="AU14" t="b">
        <f>AA14=Table_ExternalData_156[[#This Row],[AnswerWaitTime]]</f>
        <v>1</v>
      </c>
      <c r="AV14" t="b">
        <f>AB14=Table_ExternalData_156[[#This Row],[CallsAnswered]]</f>
        <v>1</v>
      </c>
      <c r="AW14" t="b">
        <f>AC14=Table_ExternalData_156[[#This Row],[ASA]]</f>
        <v>1</v>
      </c>
      <c r="AX14" t="b">
        <f>AD14=Table_ExternalData_156[[#This Row],[CallDelayAbandTime]]</f>
        <v>1</v>
      </c>
      <c r="AY14" t="b">
        <f>AE14=Table_ExternalData_156[[#This Row],[TalkTime]]</f>
        <v>1</v>
      </c>
      <c r="AZ14" t="b">
        <f>AF14=Table_ExternalData_156[[#This Row],[Calc_Wrap]]</f>
        <v>1</v>
      </c>
      <c r="BA14" t="b">
        <f>AG14=Table_ExternalData_156[[#This Row],[HoldTime]]</f>
        <v>1</v>
      </c>
      <c r="BB14" t="b">
        <f>AH14=Table_ExternalData_156[[#This Row],[AbandInterval1]]</f>
        <v>1</v>
      </c>
      <c r="BC14" t="b">
        <f>AI14=Table_ExternalData_156[[#This Row],[SysOut]]</f>
        <v>1</v>
      </c>
    </row>
    <row r="15" spans="1:55" x14ac:dyDescent="0.3">
      <c r="A15" t="s">
        <v>24</v>
      </c>
      <c r="B15" s="22">
        <v>42885</v>
      </c>
      <c r="C15" s="16">
        <v>42885.59375</v>
      </c>
      <c r="D15">
        <v>6108</v>
      </c>
      <c r="E15" t="s">
        <v>253</v>
      </c>
      <c r="F15">
        <v>72305</v>
      </c>
      <c r="G15">
        <v>179</v>
      </c>
      <c r="H15" s="48">
        <v>403.94</v>
      </c>
      <c r="I15">
        <v>31039</v>
      </c>
      <c r="J15">
        <v>0</v>
      </c>
      <c r="K15">
        <v>173.4</v>
      </c>
      <c r="L15">
        <v>2673</v>
      </c>
      <c r="M15">
        <v>69126</v>
      </c>
      <c r="N15">
        <v>195</v>
      </c>
      <c r="O15">
        <v>2827</v>
      </c>
      <c r="P15">
        <v>0</v>
      </c>
      <c r="Q15">
        <v>0</v>
      </c>
      <c r="S15" t="s">
        <v>24</v>
      </c>
      <c r="T15" s="22">
        <v>42885</v>
      </c>
      <c r="U15" s="46">
        <v>42885.59375</v>
      </c>
      <c r="V15">
        <v>6108</v>
      </c>
      <c r="W15" t="s">
        <v>253</v>
      </c>
      <c r="X15">
        <v>72305</v>
      </c>
      <c r="Y15">
        <v>179</v>
      </c>
      <c r="Z15" s="48">
        <v>403.94</v>
      </c>
      <c r="AA15">
        <v>31039</v>
      </c>
      <c r="AB15">
        <v>0</v>
      </c>
      <c r="AC15">
        <v>173.4</v>
      </c>
      <c r="AD15">
        <v>2673</v>
      </c>
      <c r="AE15">
        <v>69126</v>
      </c>
      <c r="AF15">
        <v>195</v>
      </c>
      <c r="AG15">
        <v>2827</v>
      </c>
      <c r="AH15">
        <v>0</v>
      </c>
      <c r="AI15">
        <v>0</v>
      </c>
      <c r="AK15" t="str">
        <f>Table_ExternalData_156[[#This Row],[TestNo]]</f>
        <v>PP7 - PP15</v>
      </c>
      <c r="AL15">
        <f>Table_ExternalData_156[[#This Row],[Date]]</f>
        <v>42885</v>
      </c>
      <c r="AM15" s="30">
        <f>Table_ExternalData_156[[#This Row],[DateTime]]</f>
        <v>42885.59375</v>
      </c>
      <c r="AN15" s="30">
        <f t="shared" si="0"/>
        <v>42885.59375</v>
      </c>
      <c r="AO15" s="30" t="b">
        <f>IF(AND(AN15=AM15, AQ15=Table_ExternalData_156[[#This Row],[EnterpriseName]]), TRUE, FALSE)</f>
        <v>1</v>
      </c>
      <c r="AP15">
        <f>Table_ExternalData_156[[#This Row],[CallTypeID]]</f>
        <v>6108</v>
      </c>
      <c r="AQ15" t="str">
        <f>Table_ExternalData_156[[#This Row],[EnterpriseName]]</f>
        <v>CARC_CHCO_4263_SECSR</v>
      </c>
      <c r="AR15" t="b">
        <f>X15=Table_ExternalData_156[[#This Row],[HandleTime]]</f>
        <v>1</v>
      </c>
      <c r="AS15" t="b">
        <f>Y15=Table_ExternalData_156[[#This Row],[CallsHandled]]</f>
        <v>1</v>
      </c>
      <c r="AT15" t="b">
        <f>Z15=Table_ExternalData_156[[#This Row],[AHT]]</f>
        <v>1</v>
      </c>
      <c r="AU15" t="b">
        <f>AA15=Table_ExternalData_156[[#This Row],[AnswerWaitTime]]</f>
        <v>1</v>
      </c>
      <c r="AV15" t="b">
        <f>AB15=Table_ExternalData_156[[#This Row],[CallsAnswered]]</f>
        <v>1</v>
      </c>
      <c r="AW15" t="b">
        <f>AC15=Table_ExternalData_156[[#This Row],[ASA]]</f>
        <v>1</v>
      </c>
      <c r="AX15" t="b">
        <f>AD15=Table_ExternalData_156[[#This Row],[CallDelayAbandTime]]</f>
        <v>1</v>
      </c>
      <c r="AY15" t="b">
        <f>AE15=Table_ExternalData_156[[#This Row],[TalkTime]]</f>
        <v>1</v>
      </c>
      <c r="AZ15" t="b">
        <f>AF15=Table_ExternalData_156[[#This Row],[Calc_Wrap]]</f>
        <v>1</v>
      </c>
      <c r="BA15" t="b">
        <f>AG15=Table_ExternalData_156[[#This Row],[HoldTime]]</f>
        <v>1</v>
      </c>
      <c r="BB15" t="b">
        <f>AH15=Table_ExternalData_156[[#This Row],[AbandInterval1]]</f>
        <v>1</v>
      </c>
      <c r="BC15" t="b">
        <f>AI15=Table_ExternalData_156[[#This Row],[SysOut]]</f>
        <v>1</v>
      </c>
    </row>
    <row r="16" spans="1:55" x14ac:dyDescent="0.3">
      <c r="A16" t="s">
        <v>24</v>
      </c>
      <c r="B16" s="22">
        <v>42885</v>
      </c>
      <c r="C16" s="16">
        <v>42885.604166666664</v>
      </c>
      <c r="D16">
        <v>6108</v>
      </c>
      <c r="E16" t="s">
        <v>253</v>
      </c>
      <c r="F16">
        <v>57666</v>
      </c>
      <c r="G16">
        <v>157</v>
      </c>
      <c r="H16" s="48">
        <v>367.3</v>
      </c>
      <c r="I16">
        <v>26552</v>
      </c>
      <c r="J16">
        <v>0</v>
      </c>
      <c r="K16">
        <v>169.12</v>
      </c>
      <c r="L16">
        <v>1522</v>
      </c>
      <c r="M16">
        <v>53761</v>
      </c>
      <c r="N16">
        <v>198</v>
      </c>
      <c r="O16">
        <v>3596</v>
      </c>
      <c r="P16">
        <v>0</v>
      </c>
      <c r="Q16">
        <v>0</v>
      </c>
      <c r="S16" t="s">
        <v>24</v>
      </c>
      <c r="T16" s="22">
        <v>42885</v>
      </c>
      <c r="U16" s="46">
        <v>42885.604166666664</v>
      </c>
      <c r="V16">
        <v>6108</v>
      </c>
      <c r="W16" t="s">
        <v>253</v>
      </c>
      <c r="X16">
        <v>57666</v>
      </c>
      <c r="Y16">
        <v>157</v>
      </c>
      <c r="Z16" s="48">
        <v>367.3</v>
      </c>
      <c r="AA16">
        <v>26552</v>
      </c>
      <c r="AB16">
        <v>0</v>
      </c>
      <c r="AC16">
        <v>169.12</v>
      </c>
      <c r="AD16">
        <v>1522</v>
      </c>
      <c r="AE16">
        <v>53761</v>
      </c>
      <c r="AF16">
        <v>198</v>
      </c>
      <c r="AG16">
        <v>3596</v>
      </c>
      <c r="AH16">
        <v>0</v>
      </c>
      <c r="AI16">
        <v>0</v>
      </c>
      <c r="AK16" t="str">
        <f>Table_ExternalData_156[[#This Row],[TestNo]]</f>
        <v>PP7 - PP15</v>
      </c>
      <c r="AL16">
        <f>Table_ExternalData_156[[#This Row],[Date]]</f>
        <v>42885</v>
      </c>
      <c r="AM16" s="30">
        <f>Table_ExternalData_156[[#This Row],[DateTime]]</f>
        <v>42885.604166666664</v>
      </c>
      <c r="AN16" s="30">
        <f t="shared" si="0"/>
        <v>42885.604166666664</v>
      </c>
      <c r="AO16" s="30" t="b">
        <f>IF(AND(AN16=AM16, AQ16=Table_ExternalData_156[[#This Row],[EnterpriseName]]), TRUE, FALSE)</f>
        <v>1</v>
      </c>
      <c r="AP16">
        <f>Table_ExternalData_156[[#This Row],[CallTypeID]]</f>
        <v>6108</v>
      </c>
      <c r="AQ16" t="str">
        <f>Table_ExternalData_156[[#This Row],[EnterpriseName]]</f>
        <v>CARC_CHCO_4263_SECSR</v>
      </c>
      <c r="AR16" t="b">
        <f>X16=Table_ExternalData_156[[#This Row],[HandleTime]]</f>
        <v>1</v>
      </c>
      <c r="AS16" t="b">
        <f>Y16=Table_ExternalData_156[[#This Row],[CallsHandled]]</f>
        <v>1</v>
      </c>
      <c r="AT16" t="b">
        <f>Z16=Table_ExternalData_156[[#This Row],[AHT]]</f>
        <v>1</v>
      </c>
      <c r="AU16" t="b">
        <f>AA16=Table_ExternalData_156[[#This Row],[AnswerWaitTime]]</f>
        <v>1</v>
      </c>
      <c r="AV16" t="b">
        <f>AB16=Table_ExternalData_156[[#This Row],[CallsAnswered]]</f>
        <v>1</v>
      </c>
      <c r="AW16" t="b">
        <f>AC16=Table_ExternalData_156[[#This Row],[ASA]]</f>
        <v>1</v>
      </c>
      <c r="AX16" t="b">
        <f>AD16=Table_ExternalData_156[[#This Row],[CallDelayAbandTime]]</f>
        <v>1</v>
      </c>
      <c r="AY16" t="b">
        <f>AE16=Table_ExternalData_156[[#This Row],[TalkTime]]</f>
        <v>1</v>
      </c>
      <c r="AZ16" t="b">
        <f>AF16=Table_ExternalData_156[[#This Row],[Calc_Wrap]]</f>
        <v>1</v>
      </c>
      <c r="BA16" t="b">
        <f>AG16=Table_ExternalData_156[[#This Row],[HoldTime]]</f>
        <v>1</v>
      </c>
      <c r="BB16" t="b">
        <f>AH16=Table_ExternalData_156[[#This Row],[AbandInterval1]]</f>
        <v>1</v>
      </c>
      <c r="BC16" t="b">
        <f>AI16=Table_ExternalData_156[[#This Row],[SysOut]]</f>
        <v>1</v>
      </c>
    </row>
    <row r="17" spans="1:55" x14ac:dyDescent="0.3">
      <c r="A17" t="s">
        <v>24</v>
      </c>
      <c r="B17" s="22">
        <v>42885</v>
      </c>
      <c r="C17" s="16">
        <v>42885.614583333336</v>
      </c>
      <c r="D17">
        <v>6108</v>
      </c>
      <c r="E17" t="s">
        <v>253</v>
      </c>
      <c r="F17">
        <v>57369</v>
      </c>
      <c r="G17">
        <v>159</v>
      </c>
      <c r="H17" s="48">
        <v>360.81</v>
      </c>
      <c r="I17">
        <v>22508</v>
      </c>
      <c r="J17">
        <v>0</v>
      </c>
      <c r="K17">
        <v>141.56</v>
      </c>
      <c r="L17">
        <v>2157</v>
      </c>
      <c r="M17">
        <v>54146</v>
      </c>
      <c r="N17">
        <v>215</v>
      </c>
      <c r="O17">
        <v>2909</v>
      </c>
      <c r="P17">
        <v>0</v>
      </c>
      <c r="Q17">
        <v>0</v>
      </c>
      <c r="S17" t="s">
        <v>24</v>
      </c>
      <c r="T17" s="22">
        <v>42885</v>
      </c>
      <c r="U17" s="46">
        <v>42885.614583333336</v>
      </c>
      <c r="V17">
        <v>6108</v>
      </c>
      <c r="W17" t="s">
        <v>253</v>
      </c>
      <c r="X17">
        <v>57369</v>
      </c>
      <c r="Y17">
        <v>159</v>
      </c>
      <c r="Z17" s="48">
        <v>360.81</v>
      </c>
      <c r="AA17">
        <v>22508</v>
      </c>
      <c r="AB17">
        <v>0</v>
      </c>
      <c r="AC17">
        <v>141.56</v>
      </c>
      <c r="AD17">
        <v>2157</v>
      </c>
      <c r="AE17">
        <v>54146</v>
      </c>
      <c r="AF17">
        <v>215</v>
      </c>
      <c r="AG17">
        <v>2909</v>
      </c>
      <c r="AH17">
        <v>0</v>
      </c>
      <c r="AI17">
        <v>0</v>
      </c>
      <c r="AK17" t="str">
        <f>Table_ExternalData_156[[#This Row],[TestNo]]</f>
        <v>PP7 - PP15</v>
      </c>
      <c r="AL17">
        <f>Table_ExternalData_156[[#This Row],[Date]]</f>
        <v>42885</v>
      </c>
      <c r="AM17" s="30">
        <f>Table_ExternalData_156[[#This Row],[DateTime]]</f>
        <v>42885.614583333336</v>
      </c>
      <c r="AN17" s="30">
        <f t="shared" si="0"/>
        <v>42885.614583333336</v>
      </c>
      <c r="AO17" s="30" t="b">
        <f>IF(AND(AN17=AM17, AQ17=Table_ExternalData_156[[#This Row],[EnterpriseName]]), TRUE, FALSE)</f>
        <v>1</v>
      </c>
      <c r="AP17">
        <f>Table_ExternalData_156[[#This Row],[CallTypeID]]</f>
        <v>6108</v>
      </c>
      <c r="AQ17" t="str">
        <f>Table_ExternalData_156[[#This Row],[EnterpriseName]]</f>
        <v>CARC_CHCO_4263_SECSR</v>
      </c>
      <c r="AR17" t="b">
        <f>X17=Table_ExternalData_156[[#This Row],[HandleTime]]</f>
        <v>1</v>
      </c>
      <c r="AS17" t="b">
        <f>Y17=Table_ExternalData_156[[#This Row],[CallsHandled]]</f>
        <v>1</v>
      </c>
      <c r="AT17" t="b">
        <f>Z17=Table_ExternalData_156[[#This Row],[AHT]]</f>
        <v>1</v>
      </c>
      <c r="AU17" t="b">
        <f>AA17=Table_ExternalData_156[[#This Row],[AnswerWaitTime]]</f>
        <v>1</v>
      </c>
      <c r="AV17" t="b">
        <f>AB17=Table_ExternalData_156[[#This Row],[CallsAnswered]]</f>
        <v>1</v>
      </c>
      <c r="AW17" t="b">
        <f>AC17=Table_ExternalData_156[[#This Row],[ASA]]</f>
        <v>1</v>
      </c>
      <c r="AX17" t="b">
        <f>AD17=Table_ExternalData_156[[#This Row],[CallDelayAbandTime]]</f>
        <v>1</v>
      </c>
      <c r="AY17" t="b">
        <f>AE17=Table_ExternalData_156[[#This Row],[TalkTime]]</f>
        <v>1</v>
      </c>
      <c r="AZ17" t="b">
        <f>AF17=Table_ExternalData_156[[#This Row],[Calc_Wrap]]</f>
        <v>1</v>
      </c>
      <c r="BA17" t="b">
        <f>AG17=Table_ExternalData_156[[#This Row],[HoldTime]]</f>
        <v>1</v>
      </c>
      <c r="BB17" t="b">
        <f>AH17=Table_ExternalData_156[[#This Row],[AbandInterval1]]</f>
        <v>1</v>
      </c>
      <c r="BC17" t="b">
        <f>AI17=Table_ExternalData_156[[#This Row],[SysOut]]</f>
        <v>1</v>
      </c>
    </row>
    <row r="18" spans="1:55" x14ac:dyDescent="0.3">
      <c r="A18" t="s">
        <v>24</v>
      </c>
      <c r="B18" s="22">
        <v>42885</v>
      </c>
      <c r="C18" s="16">
        <v>42885.625</v>
      </c>
      <c r="D18">
        <v>6108</v>
      </c>
      <c r="E18" t="s">
        <v>253</v>
      </c>
      <c r="F18">
        <v>53875</v>
      </c>
      <c r="G18">
        <v>129</v>
      </c>
      <c r="H18" s="48">
        <v>417.64</v>
      </c>
      <c r="I18">
        <v>30544</v>
      </c>
      <c r="J18">
        <v>0</v>
      </c>
      <c r="K18">
        <v>236.78</v>
      </c>
      <c r="L18">
        <v>4669</v>
      </c>
      <c r="M18">
        <v>51521</v>
      </c>
      <c r="N18">
        <v>277</v>
      </c>
      <c r="O18">
        <v>2094</v>
      </c>
      <c r="P18">
        <v>0</v>
      </c>
      <c r="Q18">
        <v>0</v>
      </c>
      <c r="S18" t="s">
        <v>24</v>
      </c>
      <c r="T18" s="22">
        <v>42885</v>
      </c>
      <c r="U18" s="46">
        <v>42885.625</v>
      </c>
      <c r="V18">
        <v>6108</v>
      </c>
      <c r="W18" t="s">
        <v>253</v>
      </c>
      <c r="X18">
        <v>53875</v>
      </c>
      <c r="Y18">
        <v>129</v>
      </c>
      <c r="Z18" s="48">
        <v>417.64</v>
      </c>
      <c r="AA18">
        <v>30544</v>
      </c>
      <c r="AB18">
        <v>0</v>
      </c>
      <c r="AC18">
        <v>236.78</v>
      </c>
      <c r="AD18">
        <v>4669</v>
      </c>
      <c r="AE18">
        <v>51521</v>
      </c>
      <c r="AF18">
        <v>277</v>
      </c>
      <c r="AG18">
        <v>2094</v>
      </c>
      <c r="AH18">
        <v>0</v>
      </c>
      <c r="AI18">
        <v>0</v>
      </c>
      <c r="AK18" t="str">
        <f>Table_ExternalData_156[[#This Row],[TestNo]]</f>
        <v>PP7 - PP15</v>
      </c>
      <c r="AL18">
        <f>Table_ExternalData_156[[#This Row],[Date]]</f>
        <v>42885</v>
      </c>
      <c r="AM18" s="30">
        <f>Table_ExternalData_156[[#This Row],[DateTime]]</f>
        <v>42885.625</v>
      </c>
      <c r="AN18" s="30">
        <f t="shared" si="0"/>
        <v>42885.625</v>
      </c>
      <c r="AO18" s="30" t="b">
        <f>IF(AND(AN18=AM18, AQ18=Table_ExternalData_156[[#This Row],[EnterpriseName]]), TRUE, FALSE)</f>
        <v>1</v>
      </c>
      <c r="AP18">
        <f>Table_ExternalData_156[[#This Row],[CallTypeID]]</f>
        <v>6108</v>
      </c>
      <c r="AQ18" t="str">
        <f>Table_ExternalData_156[[#This Row],[EnterpriseName]]</f>
        <v>CARC_CHCO_4263_SECSR</v>
      </c>
      <c r="AR18" t="b">
        <f>X18=Table_ExternalData_156[[#This Row],[HandleTime]]</f>
        <v>1</v>
      </c>
      <c r="AS18" t="b">
        <f>Y18=Table_ExternalData_156[[#This Row],[CallsHandled]]</f>
        <v>1</v>
      </c>
      <c r="AT18" t="b">
        <f>Z18=Table_ExternalData_156[[#This Row],[AHT]]</f>
        <v>1</v>
      </c>
      <c r="AU18" t="b">
        <f>AA18=Table_ExternalData_156[[#This Row],[AnswerWaitTime]]</f>
        <v>1</v>
      </c>
      <c r="AV18" t="b">
        <f>AB18=Table_ExternalData_156[[#This Row],[CallsAnswered]]</f>
        <v>1</v>
      </c>
      <c r="AW18" t="b">
        <f>AC18=Table_ExternalData_156[[#This Row],[ASA]]</f>
        <v>1</v>
      </c>
      <c r="AX18" t="b">
        <f>AD18=Table_ExternalData_156[[#This Row],[CallDelayAbandTime]]</f>
        <v>1</v>
      </c>
      <c r="AY18" t="b">
        <f>AE18=Table_ExternalData_156[[#This Row],[TalkTime]]</f>
        <v>1</v>
      </c>
      <c r="AZ18" t="b">
        <f>AF18=Table_ExternalData_156[[#This Row],[Calc_Wrap]]</f>
        <v>1</v>
      </c>
      <c r="BA18" t="b">
        <f>AG18=Table_ExternalData_156[[#This Row],[HoldTime]]</f>
        <v>1</v>
      </c>
      <c r="BB18" t="b">
        <f>AH18=Table_ExternalData_156[[#This Row],[AbandInterval1]]</f>
        <v>1</v>
      </c>
      <c r="BC18" t="b">
        <f>AI18=Table_ExternalData_156[[#This Row],[SysOut]]</f>
        <v>1</v>
      </c>
    </row>
    <row r="19" spans="1:55" x14ac:dyDescent="0.3">
      <c r="A19" t="s">
        <v>24</v>
      </c>
      <c r="B19" s="22">
        <v>42885</v>
      </c>
      <c r="C19" s="16">
        <v>42885.635416666664</v>
      </c>
      <c r="D19">
        <v>6108</v>
      </c>
      <c r="E19" t="s">
        <v>253</v>
      </c>
      <c r="F19">
        <v>42370</v>
      </c>
      <c r="G19">
        <v>122</v>
      </c>
      <c r="H19" s="48">
        <v>347.3</v>
      </c>
      <c r="I19">
        <v>39074</v>
      </c>
      <c r="J19">
        <v>0</v>
      </c>
      <c r="K19">
        <v>320.27999999999997</v>
      </c>
      <c r="L19">
        <v>7859</v>
      </c>
      <c r="M19">
        <v>40282</v>
      </c>
      <c r="N19">
        <v>244</v>
      </c>
      <c r="O19">
        <v>1845</v>
      </c>
      <c r="P19">
        <v>0</v>
      </c>
      <c r="Q19">
        <v>0</v>
      </c>
      <c r="S19" t="s">
        <v>24</v>
      </c>
      <c r="T19" s="22">
        <v>42885</v>
      </c>
      <c r="U19" s="46">
        <v>42885.635416666664</v>
      </c>
      <c r="V19">
        <v>6108</v>
      </c>
      <c r="W19" t="s">
        <v>253</v>
      </c>
      <c r="X19">
        <v>42370</v>
      </c>
      <c r="Y19">
        <v>122</v>
      </c>
      <c r="Z19" s="48">
        <v>347.3</v>
      </c>
      <c r="AA19">
        <v>39074</v>
      </c>
      <c r="AB19">
        <v>0</v>
      </c>
      <c r="AC19">
        <v>320.27999999999997</v>
      </c>
      <c r="AD19">
        <v>7859</v>
      </c>
      <c r="AE19">
        <v>40282</v>
      </c>
      <c r="AF19">
        <v>244</v>
      </c>
      <c r="AG19">
        <v>1845</v>
      </c>
      <c r="AH19">
        <v>0</v>
      </c>
      <c r="AI19">
        <v>0</v>
      </c>
      <c r="AK19" t="str">
        <f>Table_ExternalData_156[[#This Row],[TestNo]]</f>
        <v>PP7 - PP15</v>
      </c>
      <c r="AL19">
        <f>Table_ExternalData_156[[#This Row],[Date]]</f>
        <v>42885</v>
      </c>
      <c r="AM19" s="30">
        <f>Table_ExternalData_156[[#This Row],[DateTime]]</f>
        <v>42885.635416666664</v>
      </c>
      <c r="AN19" s="30">
        <f t="shared" si="0"/>
        <v>42885.635416666664</v>
      </c>
      <c r="AO19" s="30" t="b">
        <f>IF(AND(AN19=AM19, AQ19=Table_ExternalData_156[[#This Row],[EnterpriseName]]), TRUE, FALSE)</f>
        <v>1</v>
      </c>
      <c r="AP19">
        <f>Table_ExternalData_156[[#This Row],[CallTypeID]]</f>
        <v>6108</v>
      </c>
      <c r="AQ19" t="str">
        <f>Table_ExternalData_156[[#This Row],[EnterpriseName]]</f>
        <v>CARC_CHCO_4263_SECSR</v>
      </c>
      <c r="AR19" t="b">
        <f>X19=Table_ExternalData_156[[#This Row],[HandleTime]]</f>
        <v>1</v>
      </c>
      <c r="AS19" t="b">
        <f>Y19=Table_ExternalData_156[[#This Row],[CallsHandled]]</f>
        <v>1</v>
      </c>
      <c r="AT19" t="b">
        <f>Z19=Table_ExternalData_156[[#This Row],[AHT]]</f>
        <v>1</v>
      </c>
      <c r="AU19" t="b">
        <f>AA19=Table_ExternalData_156[[#This Row],[AnswerWaitTime]]</f>
        <v>1</v>
      </c>
      <c r="AV19" t="b">
        <f>AB19=Table_ExternalData_156[[#This Row],[CallsAnswered]]</f>
        <v>1</v>
      </c>
      <c r="AW19" t="b">
        <f>AC19=Table_ExternalData_156[[#This Row],[ASA]]</f>
        <v>1</v>
      </c>
      <c r="AX19" t="b">
        <f>AD19=Table_ExternalData_156[[#This Row],[CallDelayAbandTime]]</f>
        <v>1</v>
      </c>
      <c r="AY19" t="b">
        <f>AE19=Table_ExternalData_156[[#This Row],[TalkTime]]</f>
        <v>1</v>
      </c>
      <c r="AZ19" t="b">
        <f>AF19=Table_ExternalData_156[[#This Row],[Calc_Wrap]]</f>
        <v>1</v>
      </c>
      <c r="BA19" t="b">
        <f>AG19=Table_ExternalData_156[[#This Row],[HoldTime]]</f>
        <v>1</v>
      </c>
      <c r="BB19" t="b">
        <f>AH19=Table_ExternalData_156[[#This Row],[AbandInterval1]]</f>
        <v>1</v>
      </c>
      <c r="BC19" t="b">
        <f>AI19=Table_ExternalData_156[[#This Row],[SysOut]]</f>
        <v>1</v>
      </c>
    </row>
    <row r="20" spans="1:55" x14ac:dyDescent="0.3">
      <c r="A20" t="s">
        <v>24</v>
      </c>
      <c r="B20" s="22">
        <v>42885</v>
      </c>
      <c r="C20" s="16">
        <v>42885.645833333336</v>
      </c>
      <c r="D20">
        <v>6108</v>
      </c>
      <c r="E20" t="s">
        <v>253</v>
      </c>
      <c r="F20">
        <v>39678</v>
      </c>
      <c r="G20">
        <v>121</v>
      </c>
      <c r="H20" s="48">
        <v>327.92</v>
      </c>
      <c r="I20">
        <v>42995</v>
      </c>
      <c r="J20">
        <v>0</v>
      </c>
      <c r="K20">
        <v>355.33</v>
      </c>
      <c r="L20">
        <v>12967</v>
      </c>
      <c r="M20">
        <v>37917</v>
      </c>
      <c r="N20">
        <v>313</v>
      </c>
      <c r="O20">
        <v>1515</v>
      </c>
      <c r="P20">
        <v>0</v>
      </c>
      <c r="Q20">
        <v>0</v>
      </c>
      <c r="S20" t="s">
        <v>24</v>
      </c>
      <c r="T20" s="22">
        <v>42885</v>
      </c>
      <c r="U20" s="46">
        <v>42885.645833333336</v>
      </c>
      <c r="V20">
        <v>6108</v>
      </c>
      <c r="W20" t="s">
        <v>253</v>
      </c>
      <c r="X20">
        <v>39678</v>
      </c>
      <c r="Y20">
        <v>121</v>
      </c>
      <c r="Z20" s="48">
        <v>327.92</v>
      </c>
      <c r="AA20">
        <v>42995</v>
      </c>
      <c r="AB20">
        <v>0</v>
      </c>
      <c r="AC20">
        <v>355.33</v>
      </c>
      <c r="AD20">
        <v>12967</v>
      </c>
      <c r="AE20">
        <v>37917</v>
      </c>
      <c r="AF20">
        <v>313</v>
      </c>
      <c r="AG20">
        <v>1515</v>
      </c>
      <c r="AH20">
        <v>0</v>
      </c>
      <c r="AI20">
        <v>0</v>
      </c>
      <c r="AK20" t="str">
        <f>Table_ExternalData_156[[#This Row],[TestNo]]</f>
        <v>PP7 - PP15</v>
      </c>
      <c r="AL20">
        <f>Table_ExternalData_156[[#This Row],[Date]]</f>
        <v>42885</v>
      </c>
      <c r="AM20" s="30">
        <f>Table_ExternalData_156[[#This Row],[DateTime]]</f>
        <v>42885.645833333336</v>
      </c>
      <c r="AN20" s="30">
        <f t="shared" si="0"/>
        <v>42885.645833333336</v>
      </c>
      <c r="AO20" s="30" t="b">
        <f>IF(AND(AN20=AM20, AQ20=Table_ExternalData_156[[#This Row],[EnterpriseName]]), TRUE, FALSE)</f>
        <v>1</v>
      </c>
      <c r="AP20">
        <f>Table_ExternalData_156[[#This Row],[CallTypeID]]</f>
        <v>6108</v>
      </c>
      <c r="AQ20" t="str">
        <f>Table_ExternalData_156[[#This Row],[EnterpriseName]]</f>
        <v>CARC_CHCO_4263_SECSR</v>
      </c>
      <c r="AR20" t="b">
        <f>X20=Table_ExternalData_156[[#This Row],[HandleTime]]</f>
        <v>1</v>
      </c>
      <c r="AS20" t="b">
        <f>Y20=Table_ExternalData_156[[#This Row],[CallsHandled]]</f>
        <v>1</v>
      </c>
      <c r="AT20" t="b">
        <f>Z20=Table_ExternalData_156[[#This Row],[AHT]]</f>
        <v>1</v>
      </c>
      <c r="AU20" t="b">
        <f>AA20=Table_ExternalData_156[[#This Row],[AnswerWaitTime]]</f>
        <v>1</v>
      </c>
      <c r="AV20" t="b">
        <f>AB20=Table_ExternalData_156[[#This Row],[CallsAnswered]]</f>
        <v>1</v>
      </c>
      <c r="AW20" t="b">
        <f>AC20=Table_ExternalData_156[[#This Row],[ASA]]</f>
        <v>1</v>
      </c>
      <c r="AX20" t="b">
        <f>AD20=Table_ExternalData_156[[#This Row],[CallDelayAbandTime]]</f>
        <v>1</v>
      </c>
      <c r="AY20" t="b">
        <f>AE20=Table_ExternalData_156[[#This Row],[TalkTime]]</f>
        <v>1</v>
      </c>
      <c r="AZ20" t="b">
        <f>AF20=Table_ExternalData_156[[#This Row],[Calc_Wrap]]</f>
        <v>1</v>
      </c>
      <c r="BA20" t="b">
        <f>AG20=Table_ExternalData_156[[#This Row],[HoldTime]]</f>
        <v>1</v>
      </c>
      <c r="BB20" t="b">
        <f>AH20=Table_ExternalData_156[[#This Row],[AbandInterval1]]</f>
        <v>1</v>
      </c>
      <c r="BC20" t="b">
        <f>AI20=Table_ExternalData_156[[#This Row],[SysOut]]</f>
        <v>1</v>
      </c>
    </row>
    <row r="21" spans="1:55" x14ac:dyDescent="0.3">
      <c r="A21" t="s">
        <v>24</v>
      </c>
      <c r="B21" s="22">
        <v>42885</v>
      </c>
      <c r="C21" s="16">
        <v>42885.65625</v>
      </c>
      <c r="D21">
        <v>6108</v>
      </c>
      <c r="E21" t="s">
        <v>253</v>
      </c>
      <c r="F21">
        <v>43576</v>
      </c>
      <c r="G21">
        <v>111</v>
      </c>
      <c r="H21" s="48">
        <v>392.58</v>
      </c>
      <c r="I21">
        <v>49065</v>
      </c>
      <c r="J21">
        <v>0</v>
      </c>
      <c r="K21">
        <v>442.03</v>
      </c>
      <c r="L21">
        <v>13965</v>
      </c>
      <c r="M21">
        <v>40957</v>
      </c>
      <c r="N21">
        <v>328</v>
      </c>
      <c r="O21">
        <v>2394</v>
      </c>
      <c r="P21">
        <v>0</v>
      </c>
      <c r="Q21">
        <v>0</v>
      </c>
      <c r="S21" t="s">
        <v>24</v>
      </c>
      <c r="T21" s="22">
        <v>42885</v>
      </c>
      <c r="U21" s="46">
        <v>42885.65625</v>
      </c>
      <c r="V21">
        <v>6108</v>
      </c>
      <c r="W21" t="s">
        <v>253</v>
      </c>
      <c r="X21">
        <v>43576</v>
      </c>
      <c r="Y21">
        <v>111</v>
      </c>
      <c r="Z21" s="48">
        <v>392.58</v>
      </c>
      <c r="AA21">
        <v>49065</v>
      </c>
      <c r="AB21">
        <v>0</v>
      </c>
      <c r="AC21">
        <v>442.03</v>
      </c>
      <c r="AD21">
        <v>13965</v>
      </c>
      <c r="AE21">
        <v>40957</v>
      </c>
      <c r="AF21">
        <v>328</v>
      </c>
      <c r="AG21">
        <v>2394</v>
      </c>
      <c r="AH21">
        <v>0</v>
      </c>
      <c r="AI21">
        <v>0</v>
      </c>
      <c r="AK21" t="str">
        <f>Table_ExternalData_156[[#This Row],[TestNo]]</f>
        <v>PP7 - PP15</v>
      </c>
      <c r="AL21">
        <f>Table_ExternalData_156[[#This Row],[Date]]</f>
        <v>42885</v>
      </c>
      <c r="AM21" s="30">
        <f>Table_ExternalData_156[[#This Row],[DateTime]]</f>
        <v>42885.65625</v>
      </c>
      <c r="AN21" s="30">
        <f t="shared" si="0"/>
        <v>42885.65625</v>
      </c>
      <c r="AO21" s="30" t="b">
        <f>IF(AND(AN21=AM21, AQ21=Table_ExternalData_156[[#This Row],[EnterpriseName]]), TRUE, FALSE)</f>
        <v>1</v>
      </c>
      <c r="AP21">
        <f>Table_ExternalData_156[[#This Row],[CallTypeID]]</f>
        <v>6108</v>
      </c>
      <c r="AQ21" t="str">
        <f>Table_ExternalData_156[[#This Row],[EnterpriseName]]</f>
        <v>CARC_CHCO_4263_SECSR</v>
      </c>
      <c r="AR21" t="b">
        <f>X21=Table_ExternalData_156[[#This Row],[HandleTime]]</f>
        <v>1</v>
      </c>
      <c r="AS21" t="b">
        <f>Y21=Table_ExternalData_156[[#This Row],[CallsHandled]]</f>
        <v>1</v>
      </c>
      <c r="AT21" t="b">
        <f>Z21=Table_ExternalData_156[[#This Row],[AHT]]</f>
        <v>1</v>
      </c>
      <c r="AU21" t="b">
        <f>AA21=Table_ExternalData_156[[#This Row],[AnswerWaitTime]]</f>
        <v>1</v>
      </c>
      <c r="AV21" t="b">
        <f>AB21=Table_ExternalData_156[[#This Row],[CallsAnswered]]</f>
        <v>1</v>
      </c>
      <c r="AW21" t="b">
        <f>AC21=Table_ExternalData_156[[#This Row],[ASA]]</f>
        <v>1</v>
      </c>
      <c r="AX21" t="b">
        <f>AD21=Table_ExternalData_156[[#This Row],[CallDelayAbandTime]]</f>
        <v>1</v>
      </c>
      <c r="AY21" t="b">
        <f>AE21=Table_ExternalData_156[[#This Row],[TalkTime]]</f>
        <v>1</v>
      </c>
      <c r="AZ21" t="b">
        <f>AF21=Table_ExternalData_156[[#This Row],[Calc_Wrap]]</f>
        <v>1</v>
      </c>
      <c r="BA21" t="b">
        <f>AG21=Table_ExternalData_156[[#This Row],[HoldTime]]</f>
        <v>1</v>
      </c>
      <c r="BB21" t="b">
        <f>AH21=Table_ExternalData_156[[#This Row],[AbandInterval1]]</f>
        <v>1</v>
      </c>
      <c r="BC21" t="b">
        <f>AI21=Table_ExternalData_156[[#This Row],[SysOut]]</f>
        <v>1</v>
      </c>
    </row>
    <row r="22" spans="1:55" x14ac:dyDescent="0.3">
      <c r="A22" t="s">
        <v>24</v>
      </c>
      <c r="B22" s="22">
        <v>42885</v>
      </c>
      <c r="C22" s="16">
        <v>42885.666666666664</v>
      </c>
      <c r="D22">
        <v>6108</v>
      </c>
      <c r="E22" t="s">
        <v>253</v>
      </c>
      <c r="F22">
        <v>37452</v>
      </c>
      <c r="G22">
        <v>97</v>
      </c>
      <c r="H22" s="48">
        <v>386.1</v>
      </c>
      <c r="I22">
        <v>55102</v>
      </c>
      <c r="J22">
        <v>0</v>
      </c>
      <c r="K22">
        <v>568.05999999999995</v>
      </c>
      <c r="L22">
        <v>14574</v>
      </c>
      <c r="M22">
        <v>36095</v>
      </c>
      <c r="N22">
        <v>242</v>
      </c>
      <c r="O22">
        <v>1163</v>
      </c>
      <c r="P22">
        <v>0</v>
      </c>
      <c r="Q22">
        <v>19</v>
      </c>
      <c r="S22" t="s">
        <v>24</v>
      </c>
      <c r="T22" s="22">
        <v>42885</v>
      </c>
      <c r="U22" s="46">
        <v>42885.666666666664</v>
      </c>
      <c r="V22">
        <v>6108</v>
      </c>
      <c r="W22" t="s">
        <v>253</v>
      </c>
      <c r="X22">
        <v>37452</v>
      </c>
      <c r="Y22">
        <v>97</v>
      </c>
      <c r="Z22" s="48">
        <v>386.1</v>
      </c>
      <c r="AA22">
        <v>55102</v>
      </c>
      <c r="AB22">
        <v>0</v>
      </c>
      <c r="AC22">
        <v>568.05999999999995</v>
      </c>
      <c r="AD22">
        <v>14574</v>
      </c>
      <c r="AE22">
        <v>36095</v>
      </c>
      <c r="AF22">
        <v>242</v>
      </c>
      <c r="AG22">
        <v>1163</v>
      </c>
      <c r="AH22">
        <v>0</v>
      </c>
      <c r="AI22">
        <v>19</v>
      </c>
      <c r="AK22" t="str">
        <f>Table_ExternalData_156[[#This Row],[TestNo]]</f>
        <v>PP7 - PP15</v>
      </c>
      <c r="AL22">
        <f>Table_ExternalData_156[[#This Row],[Date]]</f>
        <v>42885</v>
      </c>
      <c r="AM22" s="30">
        <f>Table_ExternalData_156[[#This Row],[DateTime]]</f>
        <v>42885.666666666664</v>
      </c>
      <c r="AN22" s="30">
        <f t="shared" si="0"/>
        <v>42885.666666666664</v>
      </c>
      <c r="AO22" s="30" t="b">
        <f>IF(AND(AN22=AM22, AQ22=Table_ExternalData_156[[#This Row],[EnterpriseName]]), TRUE, FALSE)</f>
        <v>1</v>
      </c>
      <c r="AP22">
        <f>Table_ExternalData_156[[#This Row],[CallTypeID]]</f>
        <v>6108</v>
      </c>
      <c r="AQ22" t="str">
        <f>Table_ExternalData_156[[#This Row],[EnterpriseName]]</f>
        <v>CARC_CHCO_4263_SECSR</v>
      </c>
      <c r="AR22" t="b">
        <f>X22=Table_ExternalData_156[[#This Row],[HandleTime]]</f>
        <v>1</v>
      </c>
      <c r="AS22" t="b">
        <f>Y22=Table_ExternalData_156[[#This Row],[CallsHandled]]</f>
        <v>1</v>
      </c>
      <c r="AT22" t="b">
        <f>Z22=Table_ExternalData_156[[#This Row],[AHT]]</f>
        <v>1</v>
      </c>
      <c r="AU22" t="b">
        <f>AA22=Table_ExternalData_156[[#This Row],[AnswerWaitTime]]</f>
        <v>1</v>
      </c>
      <c r="AV22" t="b">
        <f>AB22=Table_ExternalData_156[[#This Row],[CallsAnswered]]</f>
        <v>1</v>
      </c>
      <c r="AW22" t="b">
        <f>AC22=Table_ExternalData_156[[#This Row],[ASA]]</f>
        <v>1</v>
      </c>
      <c r="AX22" t="b">
        <f>AD22=Table_ExternalData_156[[#This Row],[CallDelayAbandTime]]</f>
        <v>1</v>
      </c>
      <c r="AY22" t="b">
        <f>AE22=Table_ExternalData_156[[#This Row],[TalkTime]]</f>
        <v>1</v>
      </c>
      <c r="AZ22" t="b">
        <f>AF22=Table_ExternalData_156[[#This Row],[Calc_Wrap]]</f>
        <v>1</v>
      </c>
      <c r="BA22" t="b">
        <f>AG22=Table_ExternalData_156[[#This Row],[HoldTime]]</f>
        <v>1</v>
      </c>
      <c r="BB22" t="b">
        <f>AH22=Table_ExternalData_156[[#This Row],[AbandInterval1]]</f>
        <v>1</v>
      </c>
      <c r="BC22" t="b">
        <f>AI22=Table_ExternalData_156[[#This Row],[SysOut]]</f>
        <v>1</v>
      </c>
    </row>
    <row r="23" spans="1:55" x14ac:dyDescent="0.3">
      <c r="A23" t="s">
        <v>24</v>
      </c>
      <c r="B23" s="22">
        <v>42885</v>
      </c>
      <c r="C23" s="16">
        <v>42885.677083333336</v>
      </c>
      <c r="D23">
        <v>6108</v>
      </c>
      <c r="E23" t="s">
        <v>253</v>
      </c>
      <c r="F23">
        <v>50396</v>
      </c>
      <c r="G23">
        <v>131</v>
      </c>
      <c r="H23" s="48">
        <v>384.7</v>
      </c>
      <c r="I23">
        <v>70395</v>
      </c>
      <c r="J23">
        <v>0</v>
      </c>
      <c r="K23">
        <v>537.37</v>
      </c>
      <c r="L23">
        <v>16883</v>
      </c>
      <c r="M23">
        <v>47339</v>
      </c>
      <c r="N23">
        <v>300</v>
      </c>
      <c r="O23">
        <v>2797</v>
      </c>
      <c r="P23">
        <v>0</v>
      </c>
      <c r="Q23">
        <v>11</v>
      </c>
      <c r="T23" s="22">
        <v>42885</v>
      </c>
      <c r="U23" s="46">
        <v>42885.677083333336</v>
      </c>
      <c r="V23">
        <v>6108</v>
      </c>
      <c r="W23" t="s">
        <v>253</v>
      </c>
      <c r="X23">
        <v>50396</v>
      </c>
      <c r="Y23">
        <v>131</v>
      </c>
      <c r="Z23" s="48">
        <v>384.7</v>
      </c>
      <c r="AA23">
        <v>70395</v>
      </c>
      <c r="AB23">
        <v>0</v>
      </c>
      <c r="AC23">
        <v>537.37</v>
      </c>
      <c r="AD23">
        <v>16883</v>
      </c>
      <c r="AE23">
        <v>47339</v>
      </c>
      <c r="AF23">
        <v>300</v>
      </c>
      <c r="AG23">
        <v>2797</v>
      </c>
      <c r="AH23">
        <v>0</v>
      </c>
      <c r="AI23">
        <v>11</v>
      </c>
      <c r="AK23" t="str">
        <f>Table_ExternalData_156[[#This Row],[TestNo]]</f>
        <v>PP7 - PP15</v>
      </c>
      <c r="AL23">
        <f>Table_ExternalData_156[[#This Row],[Date]]</f>
        <v>42885</v>
      </c>
      <c r="AM23" s="30">
        <f>Table_ExternalData_156[[#This Row],[DateTime]]</f>
        <v>42885.677083333336</v>
      </c>
      <c r="AN23" s="30">
        <f t="shared" si="0"/>
        <v>42885.677083333336</v>
      </c>
      <c r="AO23" s="30" t="b">
        <f>IF(AND(AN23=AM23, AQ23=Table_ExternalData_156[[#This Row],[EnterpriseName]]), TRUE, FALSE)</f>
        <v>1</v>
      </c>
      <c r="AP23">
        <f>Table_ExternalData_156[[#This Row],[CallTypeID]]</f>
        <v>6108</v>
      </c>
      <c r="AQ23" t="str">
        <f>Table_ExternalData_156[[#This Row],[EnterpriseName]]</f>
        <v>CARC_CHCO_4263_SECSR</v>
      </c>
      <c r="AR23" t="b">
        <f>X23=Table_ExternalData_156[[#This Row],[HandleTime]]</f>
        <v>1</v>
      </c>
      <c r="AS23" t="b">
        <f>Y23=Table_ExternalData_156[[#This Row],[CallsHandled]]</f>
        <v>1</v>
      </c>
      <c r="AT23" t="b">
        <f>Z23=Table_ExternalData_156[[#This Row],[AHT]]</f>
        <v>1</v>
      </c>
      <c r="AU23" t="b">
        <f>AA23=Table_ExternalData_156[[#This Row],[AnswerWaitTime]]</f>
        <v>1</v>
      </c>
      <c r="AV23" t="b">
        <f>AB23=Table_ExternalData_156[[#This Row],[CallsAnswered]]</f>
        <v>1</v>
      </c>
      <c r="AW23" t="b">
        <f>AC23=Table_ExternalData_156[[#This Row],[ASA]]</f>
        <v>1</v>
      </c>
      <c r="AX23" t="b">
        <f>AD23=Table_ExternalData_156[[#This Row],[CallDelayAbandTime]]</f>
        <v>1</v>
      </c>
      <c r="AY23" t="b">
        <f>AE23=Table_ExternalData_156[[#This Row],[TalkTime]]</f>
        <v>1</v>
      </c>
      <c r="AZ23" t="b">
        <f>AF23=Table_ExternalData_156[[#This Row],[Calc_Wrap]]</f>
        <v>1</v>
      </c>
      <c r="BA23" t="b">
        <f>AG23=Table_ExternalData_156[[#This Row],[HoldTime]]</f>
        <v>1</v>
      </c>
      <c r="BB23" t="b">
        <f>AH23=Table_ExternalData_156[[#This Row],[AbandInterval1]]</f>
        <v>1</v>
      </c>
      <c r="BC23" t="b">
        <f>AI23=Table_ExternalData_156[[#This Row],[SysOut]]</f>
        <v>1</v>
      </c>
    </row>
    <row r="24" spans="1:55" x14ac:dyDescent="0.3">
      <c r="A24" t="s">
        <v>24</v>
      </c>
      <c r="B24" s="22">
        <v>42885</v>
      </c>
      <c r="C24" s="16">
        <v>42885.6875</v>
      </c>
      <c r="D24">
        <v>6108</v>
      </c>
      <c r="E24" t="s">
        <v>253</v>
      </c>
      <c r="F24">
        <v>56482</v>
      </c>
      <c r="G24">
        <v>145</v>
      </c>
      <c r="H24" s="48">
        <v>389.53</v>
      </c>
      <c r="I24">
        <v>43667</v>
      </c>
      <c r="J24">
        <v>0</v>
      </c>
      <c r="K24">
        <v>301.14999999999998</v>
      </c>
      <c r="L24">
        <v>8743</v>
      </c>
      <c r="M24">
        <v>53898</v>
      </c>
      <c r="N24">
        <v>278</v>
      </c>
      <c r="O24">
        <v>2295</v>
      </c>
      <c r="P24">
        <v>0</v>
      </c>
      <c r="Q24">
        <v>0</v>
      </c>
      <c r="T24" s="22">
        <v>42885</v>
      </c>
      <c r="U24" s="46">
        <v>42885.6875</v>
      </c>
      <c r="V24">
        <v>6108</v>
      </c>
      <c r="W24" t="s">
        <v>253</v>
      </c>
      <c r="X24">
        <v>56482</v>
      </c>
      <c r="Y24">
        <v>145</v>
      </c>
      <c r="Z24" s="48">
        <v>389.53</v>
      </c>
      <c r="AA24">
        <v>43667</v>
      </c>
      <c r="AB24">
        <v>0</v>
      </c>
      <c r="AC24">
        <v>301.14999999999998</v>
      </c>
      <c r="AD24">
        <v>8743</v>
      </c>
      <c r="AE24">
        <v>53898</v>
      </c>
      <c r="AF24">
        <v>278</v>
      </c>
      <c r="AG24">
        <v>2295</v>
      </c>
      <c r="AH24">
        <v>0</v>
      </c>
      <c r="AI24">
        <v>0</v>
      </c>
      <c r="AK24" t="str">
        <f>Table_ExternalData_156[[#This Row],[TestNo]]</f>
        <v>PP7 - PP15</v>
      </c>
      <c r="AL24">
        <f>Table_ExternalData_156[[#This Row],[Date]]</f>
        <v>42885</v>
      </c>
      <c r="AM24" s="30">
        <f>Table_ExternalData_156[[#This Row],[DateTime]]</f>
        <v>42885.6875</v>
      </c>
      <c r="AN24" s="30">
        <f t="shared" si="0"/>
        <v>42885.6875</v>
      </c>
      <c r="AO24" s="30" t="b">
        <f>IF(AND(AN24=AM24, AQ24=Table_ExternalData_156[[#This Row],[EnterpriseName]]), TRUE, FALSE)</f>
        <v>1</v>
      </c>
      <c r="AP24">
        <f>Table_ExternalData_156[[#This Row],[CallTypeID]]</f>
        <v>6108</v>
      </c>
      <c r="AQ24" t="str">
        <f>Table_ExternalData_156[[#This Row],[EnterpriseName]]</f>
        <v>CARC_CHCO_4263_SECSR</v>
      </c>
      <c r="AR24" t="b">
        <f>X24=Table_ExternalData_156[[#This Row],[HandleTime]]</f>
        <v>1</v>
      </c>
      <c r="AS24" t="b">
        <f>Y24=Table_ExternalData_156[[#This Row],[CallsHandled]]</f>
        <v>1</v>
      </c>
      <c r="AT24" t="b">
        <f>Z24=Table_ExternalData_156[[#This Row],[AHT]]</f>
        <v>1</v>
      </c>
      <c r="AU24" t="b">
        <f>AA24=Table_ExternalData_156[[#This Row],[AnswerWaitTime]]</f>
        <v>1</v>
      </c>
      <c r="AV24" t="b">
        <f>AB24=Table_ExternalData_156[[#This Row],[CallsAnswered]]</f>
        <v>1</v>
      </c>
      <c r="AW24" t="b">
        <f>AC24=Table_ExternalData_156[[#This Row],[ASA]]</f>
        <v>1</v>
      </c>
      <c r="AX24" t="b">
        <f>AD24=Table_ExternalData_156[[#This Row],[CallDelayAbandTime]]</f>
        <v>1</v>
      </c>
      <c r="AY24" t="b">
        <f>AE24=Table_ExternalData_156[[#This Row],[TalkTime]]</f>
        <v>1</v>
      </c>
      <c r="AZ24" t="b">
        <f>AF24=Table_ExternalData_156[[#This Row],[Calc_Wrap]]</f>
        <v>1</v>
      </c>
      <c r="BA24" t="b">
        <f>AG24=Table_ExternalData_156[[#This Row],[HoldTime]]</f>
        <v>1</v>
      </c>
      <c r="BB24" t="b">
        <f>AH24=Table_ExternalData_156[[#This Row],[AbandInterval1]]</f>
        <v>1</v>
      </c>
      <c r="BC24" t="b">
        <f>AI24=Table_ExternalData_156[[#This Row],[SysOut]]</f>
        <v>1</v>
      </c>
    </row>
    <row r="25" spans="1:55" x14ac:dyDescent="0.3">
      <c r="A25" t="s">
        <v>24</v>
      </c>
      <c r="B25" s="22">
        <v>42885</v>
      </c>
      <c r="C25" s="16">
        <v>42885.697916666664</v>
      </c>
      <c r="D25">
        <v>6108</v>
      </c>
      <c r="E25" t="s">
        <v>253</v>
      </c>
      <c r="F25">
        <v>56432</v>
      </c>
      <c r="G25">
        <v>146</v>
      </c>
      <c r="H25" s="48">
        <v>386.52</v>
      </c>
      <c r="I25">
        <v>33824</v>
      </c>
      <c r="J25">
        <v>0</v>
      </c>
      <c r="K25">
        <v>231.67</v>
      </c>
      <c r="L25">
        <v>3893</v>
      </c>
      <c r="M25">
        <v>54375</v>
      </c>
      <c r="N25">
        <v>320</v>
      </c>
      <c r="O25">
        <v>1768</v>
      </c>
      <c r="P25">
        <v>0</v>
      </c>
      <c r="Q25">
        <v>3</v>
      </c>
      <c r="T25" s="22">
        <v>42885</v>
      </c>
      <c r="U25" s="46">
        <v>42885.697916666664</v>
      </c>
      <c r="V25">
        <v>6108</v>
      </c>
      <c r="W25" t="s">
        <v>253</v>
      </c>
      <c r="X25">
        <v>56432</v>
      </c>
      <c r="Y25">
        <v>146</v>
      </c>
      <c r="Z25" s="48">
        <v>386.52</v>
      </c>
      <c r="AA25">
        <v>33824</v>
      </c>
      <c r="AB25">
        <v>0</v>
      </c>
      <c r="AC25">
        <v>231.67</v>
      </c>
      <c r="AD25">
        <v>3893</v>
      </c>
      <c r="AE25">
        <v>54375</v>
      </c>
      <c r="AF25">
        <v>320</v>
      </c>
      <c r="AG25">
        <v>1768</v>
      </c>
      <c r="AH25">
        <v>0</v>
      </c>
      <c r="AI25">
        <v>3</v>
      </c>
      <c r="AK25" t="str">
        <f>Table_ExternalData_156[[#This Row],[TestNo]]</f>
        <v>PP7 - PP15</v>
      </c>
      <c r="AL25">
        <f>Table_ExternalData_156[[#This Row],[Date]]</f>
        <v>42885</v>
      </c>
      <c r="AM25" s="30">
        <f>Table_ExternalData_156[[#This Row],[DateTime]]</f>
        <v>42885.697916666664</v>
      </c>
      <c r="AN25" s="30">
        <f t="shared" si="0"/>
        <v>42885.697916666664</v>
      </c>
      <c r="AO25" s="30" t="b">
        <f>IF(AND(AN25=AM25, AQ25=Table_ExternalData_156[[#This Row],[EnterpriseName]]), TRUE, FALSE)</f>
        <v>1</v>
      </c>
      <c r="AP25">
        <f>Table_ExternalData_156[[#This Row],[CallTypeID]]</f>
        <v>6108</v>
      </c>
      <c r="AQ25" t="str">
        <f>Table_ExternalData_156[[#This Row],[EnterpriseName]]</f>
        <v>CARC_CHCO_4263_SECSR</v>
      </c>
      <c r="AR25" t="b">
        <f>X25=Table_ExternalData_156[[#This Row],[HandleTime]]</f>
        <v>1</v>
      </c>
      <c r="AS25" t="b">
        <f>Y25=Table_ExternalData_156[[#This Row],[CallsHandled]]</f>
        <v>1</v>
      </c>
      <c r="AT25" t="b">
        <f>Z25=Table_ExternalData_156[[#This Row],[AHT]]</f>
        <v>1</v>
      </c>
      <c r="AU25" t="b">
        <f>AA25=Table_ExternalData_156[[#This Row],[AnswerWaitTime]]</f>
        <v>1</v>
      </c>
      <c r="AV25" t="b">
        <f>AB25=Table_ExternalData_156[[#This Row],[CallsAnswered]]</f>
        <v>1</v>
      </c>
      <c r="AW25" t="b">
        <f>AC25=Table_ExternalData_156[[#This Row],[ASA]]</f>
        <v>1</v>
      </c>
      <c r="AX25" t="b">
        <f>AD25=Table_ExternalData_156[[#This Row],[CallDelayAbandTime]]</f>
        <v>1</v>
      </c>
      <c r="AY25" t="b">
        <f>AE25=Table_ExternalData_156[[#This Row],[TalkTime]]</f>
        <v>1</v>
      </c>
      <c r="AZ25" t="b">
        <f>AF25=Table_ExternalData_156[[#This Row],[Calc_Wrap]]</f>
        <v>1</v>
      </c>
      <c r="BA25" t="b">
        <f>AG25=Table_ExternalData_156[[#This Row],[HoldTime]]</f>
        <v>1</v>
      </c>
      <c r="BB25" t="b">
        <f>AH25=Table_ExternalData_156[[#This Row],[AbandInterval1]]</f>
        <v>1</v>
      </c>
      <c r="BC25" t="b">
        <f>AI25=Table_ExternalData_156[[#This Row],[SysOut]]</f>
        <v>1</v>
      </c>
    </row>
    <row r="26" spans="1:55" x14ac:dyDescent="0.3">
      <c r="A26" t="s">
        <v>24</v>
      </c>
      <c r="B26" s="22">
        <v>42885</v>
      </c>
      <c r="C26" s="16">
        <v>42885.708333333336</v>
      </c>
      <c r="D26">
        <v>6108</v>
      </c>
      <c r="E26" t="s">
        <v>253</v>
      </c>
      <c r="F26">
        <v>50590</v>
      </c>
      <c r="G26">
        <v>133</v>
      </c>
      <c r="H26" s="48">
        <v>380.38</v>
      </c>
      <c r="I26">
        <v>38022</v>
      </c>
      <c r="J26">
        <v>0</v>
      </c>
      <c r="K26">
        <v>285.88</v>
      </c>
      <c r="L26">
        <v>7081</v>
      </c>
      <c r="M26">
        <v>47961</v>
      </c>
      <c r="N26">
        <v>250</v>
      </c>
      <c r="O26">
        <v>2364</v>
      </c>
      <c r="P26">
        <v>2</v>
      </c>
      <c r="Q26">
        <v>0</v>
      </c>
      <c r="T26" s="22">
        <v>42885</v>
      </c>
      <c r="U26" s="46">
        <v>42885.708333333336</v>
      </c>
      <c r="V26">
        <v>6108</v>
      </c>
      <c r="W26" t="s">
        <v>253</v>
      </c>
      <c r="X26">
        <v>50590</v>
      </c>
      <c r="Y26">
        <v>133</v>
      </c>
      <c r="Z26" s="48">
        <v>380.38</v>
      </c>
      <c r="AA26">
        <v>38022</v>
      </c>
      <c r="AB26">
        <v>0</v>
      </c>
      <c r="AC26">
        <v>285.88</v>
      </c>
      <c r="AD26">
        <v>7081</v>
      </c>
      <c r="AE26">
        <v>47961</v>
      </c>
      <c r="AF26">
        <v>250</v>
      </c>
      <c r="AG26">
        <v>2364</v>
      </c>
      <c r="AH26">
        <v>2</v>
      </c>
      <c r="AI26">
        <v>0</v>
      </c>
      <c r="AK26" t="str">
        <f>Table_ExternalData_156[[#This Row],[TestNo]]</f>
        <v>PP7 - PP15</v>
      </c>
      <c r="AL26">
        <f>Table_ExternalData_156[[#This Row],[Date]]</f>
        <v>42885</v>
      </c>
      <c r="AM26" s="30">
        <f>Table_ExternalData_156[[#This Row],[DateTime]]</f>
        <v>42885.708333333336</v>
      </c>
      <c r="AN26" s="30">
        <f t="shared" si="0"/>
        <v>42885.708333333336</v>
      </c>
      <c r="AO26" s="30" t="b">
        <f>IF(AND(AN26=AM26, AQ26=Table_ExternalData_156[[#This Row],[EnterpriseName]]), TRUE, FALSE)</f>
        <v>1</v>
      </c>
      <c r="AP26">
        <f>Table_ExternalData_156[[#This Row],[CallTypeID]]</f>
        <v>6108</v>
      </c>
      <c r="AQ26" t="str">
        <f>Table_ExternalData_156[[#This Row],[EnterpriseName]]</f>
        <v>CARC_CHCO_4263_SECSR</v>
      </c>
      <c r="AR26" t="b">
        <f>X26=Table_ExternalData_156[[#This Row],[HandleTime]]</f>
        <v>1</v>
      </c>
      <c r="AS26" t="b">
        <f>Y26=Table_ExternalData_156[[#This Row],[CallsHandled]]</f>
        <v>1</v>
      </c>
      <c r="AT26" t="b">
        <f>Z26=Table_ExternalData_156[[#This Row],[AHT]]</f>
        <v>1</v>
      </c>
      <c r="AU26" t="b">
        <f>AA26=Table_ExternalData_156[[#This Row],[AnswerWaitTime]]</f>
        <v>1</v>
      </c>
      <c r="AV26" t="b">
        <f>AB26=Table_ExternalData_156[[#This Row],[CallsAnswered]]</f>
        <v>1</v>
      </c>
      <c r="AW26" t="b">
        <f>AC26=Table_ExternalData_156[[#This Row],[ASA]]</f>
        <v>1</v>
      </c>
      <c r="AX26" t="b">
        <f>AD26=Table_ExternalData_156[[#This Row],[CallDelayAbandTime]]</f>
        <v>1</v>
      </c>
      <c r="AY26" t="b">
        <f>AE26=Table_ExternalData_156[[#This Row],[TalkTime]]</f>
        <v>1</v>
      </c>
      <c r="AZ26" t="b">
        <f>AF26=Table_ExternalData_156[[#This Row],[Calc_Wrap]]</f>
        <v>1</v>
      </c>
      <c r="BA26" t="b">
        <f>AG26=Table_ExternalData_156[[#This Row],[HoldTime]]</f>
        <v>1</v>
      </c>
      <c r="BB26" t="b">
        <f>AH26=Table_ExternalData_156[[#This Row],[AbandInterval1]]</f>
        <v>1</v>
      </c>
      <c r="BC26" t="b">
        <f>AI26=Table_ExternalData_156[[#This Row],[SysOut]]</f>
        <v>1</v>
      </c>
    </row>
    <row r="27" spans="1:55" x14ac:dyDescent="0.3">
      <c r="A27" t="s">
        <v>24</v>
      </c>
      <c r="B27" s="22">
        <v>42885</v>
      </c>
      <c r="C27" s="16">
        <v>42885.71875</v>
      </c>
      <c r="D27">
        <v>6108</v>
      </c>
      <c r="E27" t="s">
        <v>253</v>
      </c>
      <c r="F27">
        <v>53263</v>
      </c>
      <c r="G27">
        <v>125</v>
      </c>
      <c r="H27" s="48">
        <v>426.1</v>
      </c>
      <c r="I27">
        <v>41321</v>
      </c>
      <c r="J27">
        <v>0</v>
      </c>
      <c r="K27">
        <v>330.57</v>
      </c>
      <c r="L27">
        <v>8159</v>
      </c>
      <c r="M27">
        <v>50396</v>
      </c>
      <c r="N27">
        <v>352</v>
      </c>
      <c r="O27">
        <v>2621</v>
      </c>
      <c r="P27">
        <v>0</v>
      </c>
      <c r="Q27">
        <v>0</v>
      </c>
      <c r="T27" s="22">
        <v>42885</v>
      </c>
      <c r="U27" s="46">
        <v>42885.71875</v>
      </c>
      <c r="V27">
        <v>6108</v>
      </c>
      <c r="W27" t="s">
        <v>253</v>
      </c>
      <c r="X27">
        <v>53263</v>
      </c>
      <c r="Y27">
        <v>125</v>
      </c>
      <c r="Z27" s="48">
        <v>426.1</v>
      </c>
      <c r="AA27">
        <v>41321</v>
      </c>
      <c r="AB27">
        <v>0</v>
      </c>
      <c r="AC27">
        <v>330.57</v>
      </c>
      <c r="AD27">
        <v>8159</v>
      </c>
      <c r="AE27">
        <v>50396</v>
      </c>
      <c r="AF27">
        <v>352</v>
      </c>
      <c r="AG27">
        <v>2621</v>
      </c>
      <c r="AH27">
        <v>0</v>
      </c>
      <c r="AI27">
        <v>0</v>
      </c>
      <c r="AK27" t="str">
        <f>Table_ExternalData_156[[#This Row],[TestNo]]</f>
        <v>PP7 - PP15</v>
      </c>
      <c r="AL27">
        <f>Table_ExternalData_156[[#This Row],[Date]]</f>
        <v>42885</v>
      </c>
      <c r="AM27" s="30">
        <f>Table_ExternalData_156[[#This Row],[DateTime]]</f>
        <v>42885.71875</v>
      </c>
      <c r="AN27" s="30">
        <f t="shared" si="0"/>
        <v>42885.71875</v>
      </c>
      <c r="AO27" s="30" t="b">
        <f>IF(AND(AN27=AM27, AQ27=Table_ExternalData_156[[#This Row],[EnterpriseName]]), TRUE, FALSE)</f>
        <v>1</v>
      </c>
      <c r="AP27">
        <f>Table_ExternalData_156[[#This Row],[CallTypeID]]</f>
        <v>6108</v>
      </c>
      <c r="AQ27" t="str">
        <f>Table_ExternalData_156[[#This Row],[EnterpriseName]]</f>
        <v>CARC_CHCO_4263_SECSR</v>
      </c>
      <c r="AR27" t="b">
        <f>X27=Table_ExternalData_156[[#This Row],[HandleTime]]</f>
        <v>1</v>
      </c>
      <c r="AS27" t="b">
        <f>Y27=Table_ExternalData_156[[#This Row],[CallsHandled]]</f>
        <v>1</v>
      </c>
      <c r="AT27" t="b">
        <f>Z27=Table_ExternalData_156[[#This Row],[AHT]]</f>
        <v>1</v>
      </c>
      <c r="AU27" t="b">
        <f>AA27=Table_ExternalData_156[[#This Row],[AnswerWaitTime]]</f>
        <v>1</v>
      </c>
      <c r="AV27" t="b">
        <f>AB27=Table_ExternalData_156[[#This Row],[CallsAnswered]]</f>
        <v>1</v>
      </c>
      <c r="AW27" t="b">
        <f>AC27=Table_ExternalData_156[[#This Row],[ASA]]</f>
        <v>1</v>
      </c>
      <c r="AX27" t="b">
        <f>AD27=Table_ExternalData_156[[#This Row],[CallDelayAbandTime]]</f>
        <v>1</v>
      </c>
      <c r="AY27" t="b">
        <f>AE27=Table_ExternalData_156[[#This Row],[TalkTime]]</f>
        <v>1</v>
      </c>
      <c r="AZ27" t="b">
        <f>AF27=Table_ExternalData_156[[#This Row],[Calc_Wrap]]</f>
        <v>1</v>
      </c>
      <c r="BA27" t="b">
        <f>AG27=Table_ExternalData_156[[#This Row],[HoldTime]]</f>
        <v>1</v>
      </c>
      <c r="BB27" t="b">
        <f>AH27=Table_ExternalData_156[[#This Row],[AbandInterval1]]</f>
        <v>1</v>
      </c>
      <c r="BC27" t="b">
        <f>AI27=Table_ExternalData_156[[#This Row],[SysOut]]</f>
        <v>1</v>
      </c>
    </row>
    <row r="28" spans="1:55" x14ac:dyDescent="0.3">
      <c r="A28" t="s">
        <v>24</v>
      </c>
      <c r="B28" s="22">
        <v>42885</v>
      </c>
      <c r="C28" s="16">
        <v>42885.729166666664</v>
      </c>
      <c r="D28">
        <v>6108</v>
      </c>
      <c r="E28" t="s">
        <v>253</v>
      </c>
      <c r="F28">
        <v>60213</v>
      </c>
      <c r="G28">
        <v>161</v>
      </c>
      <c r="H28" s="48">
        <v>373.99</v>
      </c>
      <c r="I28">
        <v>42243</v>
      </c>
      <c r="J28">
        <v>0</v>
      </c>
      <c r="K28">
        <v>262.38</v>
      </c>
      <c r="L28">
        <v>6035</v>
      </c>
      <c r="M28">
        <v>57245</v>
      </c>
      <c r="N28">
        <v>309</v>
      </c>
      <c r="O28">
        <v>2648</v>
      </c>
      <c r="P28">
        <v>0</v>
      </c>
      <c r="Q28">
        <v>1</v>
      </c>
      <c r="T28" s="22">
        <v>42885</v>
      </c>
      <c r="U28" s="46">
        <v>42885.729166666664</v>
      </c>
      <c r="V28">
        <v>6108</v>
      </c>
      <c r="W28" t="s">
        <v>253</v>
      </c>
      <c r="X28">
        <v>60213</v>
      </c>
      <c r="Y28">
        <v>161</v>
      </c>
      <c r="Z28" s="48">
        <v>373.99</v>
      </c>
      <c r="AA28">
        <v>42243</v>
      </c>
      <c r="AB28">
        <v>0</v>
      </c>
      <c r="AC28">
        <v>262.38</v>
      </c>
      <c r="AD28">
        <v>6035</v>
      </c>
      <c r="AE28">
        <v>57245</v>
      </c>
      <c r="AF28">
        <v>309</v>
      </c>
      <c r="AG28">
        <v>2648</v>
      </c>
      <c r="AH28">
        <v>0</v>
      </c>
      <c r="AI28">
        <v>1</v>
      </c>
      <c r="AK28" t="str">
        <f>Table_ExternalData_156[[#This Row],[TestNo]]</f>
        <v>PP7 - PP15</v>
      </c>
      <c r="AL28">
        <f>Table_ExternalData_156[[#This Row],[Date]]</f>
        <v>42885</v>
      </c>
      <c r="AM28" s="30">
        <f>Table_ExternalData_156[[#This Row],[DateTime]]</f>
        <v>42885.729166666664</v>
      </c>
      <c r="AN28" s="30">
        <f t="shared" si="0"/>
        <v>42885.729166666664</v>
      </c>
      <c r="AO28" s="30" t="b">
        <f>IF(AND(AN28=AM28, AQ28=Table_ExternalData_156[[#This Row],[EnterpriseName]]), TRUE, FALSE)</f>
        <v>1</v>
      </c>
      <c r="AP28">
        <f>Table_ExternalData_156[[#This Row],[CallTypeID]]</f>
        <v>6108</v>
      </c>
      <c r="AQ28" t="str">
        <f>Table_ExternalData_156[[#This Row],[EnterpriseName]]</f>
        <v>CARC_CHCO_4263_SECSR</v>
      </c>
      <c r="AR28" t="b">
        <f>X28=Table_ExternalData_156[[#This Row],[HandleTime]]</f>
        <v>1</v>
      </c>
      <c r="AS28" t="b">
        <f>Y28=Table_ExternalData_156[[#This Row],[CallsHandled]]</f>
        <v>1</v>
      </c>
      <c r="AT28" t="b">
        <f>Z28=Table_ExternalData_156[[#This Row],[AHT]]</f>
        <v>1</v>
      </c>
      <c r="AU28" t="b">
        <f>AA28=Table_ExternalData_156[[#This Row],[AnswerWaitTime]]</f>
        <v>1</v>
      </c>
      <c r="AV28" t="b">
        <f>AB28=Table_ExternalData_156[[#This Row],[CallsAnswered]]</f>
        <v>1</v>
      </c>
      <c r="AW28" t="b">
        <f>AC28=Table_ExternalData_156[[#This Row],[ASA]]</f>
        <v>1</v>
      </c>
      <c r="AX28" t="b">
        <f>AD28=Table_ExternalData_156[[#This Row],[CallDelayAbandTime]]</f>
        <v>1</v>
      </c>
      <c r="AY28" t="b">
        <f>AE28=Table_ExternalData_156[[#This Row],[TalkTime]]</f>
        <v>1</v>
      </c>
      <c r="AZ28" t="b">
        <f>AF28=Table_ExternalData_156[[#This Row],[Calc_Wrap]]</f>
        <v>1</v>
      </c>
      <c r="BA28" t="b">
        <f>AG28=Table_ExternalData_156[[#This Row],[HoldTime]]</f>
        <v>1</v>
      </c>
      <c r="BB28" t="b">
        <f>AH28=Table_ExternalData_156[[#This Row],[AbandInterval1]]</f>
        <v>1</v>
      </c>
      <c r="BC28" t="b">
        <f>AI28=Table_ExternalData_156[[#This Row],[SysOut]]</f>
        <v>1</v>
      </c>
    </row>
    <row r="29" spans="1:55" x14ac:dyDescent="0.3">
      <c r="A29" t="s">
        <v>24</v>
      </c>
      <c r="B29" s="22">
        <v>42885</v>
      </c>
      <c r="C29" s="16">
        <v>42885.739583333336</v>
      </c>
      <c r="D29">
        <v>6108</v>
      </c>
      <c r="E29" t="s">
        <v>253</v>
      </c>
      <c r="F29">
        <v>46716</v>
      </c>
      <c r="G29">
        <v>138</v>
      </c>
      <c r="H29" s="48">
        <v>338.52</v>
      </c>
      <c r="I29">
        <v>38699</v>
      </c>
      <c r="J29">
        <v>0</v>
      </c>
      <c r="K29">
        <v>280.43</v>
      </c>
      <c r="L29">
        <v>8074</v>
      </c>
      <c r="M29">
        <v>44257</v>
      </c>
      <c r="N29">
        <v>314</v>
      </c>
      <c r="O29">
        <v>2181</v>
      </c>
      <c r="P29">
        <v>0</v>
      </c>
      <c r="Q29">
        <v>0</v>
      </c>
      <c r="T29" s="22">
        <v>42885</v>
      </c>
      <c r="U29" s="46">
        <v>42885.739583333336</v>
      </c>
      <c r="V29">
        <v>6108</v>
      </c>
      <c r="W29" t="s">
        <v>253</v>
      </c>
      <c r="X29">
        <v>46716</v>
      </c>
      <c r="Y29">
        <v>138</v>
      </c>
      <c r="Z29" s="48">
        <v>338.52</v>
      </c>
      <c r="AA29">
        <v>38699</v>
      </c>
      <c r="AB29">
        <v>0</v>
      </c>
      <c r="AC29">
        <v>280.43</v>
      </c>
      <c r="AD29">
        <v>8074</v>
      </c>
      <c r="AE29">
        <v>44257</v>
      </c>
      <c r="AF29">
        <v>314</v>
      </c>
      <c r="AG29">
        <v>2181</v>
      </c>
      <c r="AH29">
        <v>0</v>
      </c>
      <c r="AI29">
        <v>0</v>
      </c>
      <c r="AK29" t="str">
        <f>Table_ExternalData_156[[#This Row],[TestNo]]</f>
        <v>PP7 - PP15</v>
      </c>
      <c r="AL29">
        <f>Table_ExternalData_156[[#This Row],[Date]]</f>
        <v>42885</v>
      </c>
      <c r="AM29" s="30">
        <f>Table_ExternalData_156[[#This Row],[DateTime]]</f>
        <v>42885.739583333336</v>
      </c>
      <c r="AN29" s="30">
        <f t="shared" si="0"/>
        <v>42885.739583333336</v>
      </c>
      <c r="AO29" s="30" t="b">
        <f>IF(AND(AN29=AM29, AQ29=Table_ExternalData_156[[#This Row],[EnterpriseName]]), TRUE, FALSE)</f>
        <v>1</v>
      </c>
      <c r="AP29">
        <f>Table_ExternalData_156[[#This Row],[CallTypeID]]</f>
        <v>6108</v>
      </c>
      <c r="AQ29" t="str">
        <f>Table_ExternalData_156[[#This Row],[EnterpriseName]]</f>
        <v>CARC_CHCO_4263_SECSR</v>
      </c>
      <c r="AR29" t="b">
        <f>X29=Table_ExternalData_156[[#This Row],[HandleTime]]</f>
        <v>1</v>
      </c>
      <c r="AS29" t="b">
        <f>Y29=Table_ExternalData_156[[#This Row],[CallsHandled]]</f>
        <v>1</v>
      </c>
      <c r="AT29" t="b">
        <f>Z29=Table_ExternalData_156[[#This Row],[AHT]]</f>
        <v>1</v>
      </c>
      <c r="AU29" t="b">
        <f>AA29=Table_ExternalData_156[[#This Row],[AnswerWaitTime]]</f>
        <v>1</v>
      </c>
      <c r="AV29" t="b">
        <f>AB29=Table_ExternalData_156[[#This Row],[CallsAnswered]]</f>
        <v>1</v>
      </c>
      <c r="AW29" t="b">
        <f>AC29=Table_ExternalData_156[[#This Row],[ASA]]</f>
        <v>1</v>
      </c>
      <c r="AX29" t="b">
        <f>AD29=Table_ExternalData_156[[#This Row],[CallDelayAbandTime]]</f>
        <v>1</v>
      </c>
      <c r="AY29" t="b">
        <f>AE29=Table_ExternalData_156[[#This Row],[TalkTime]]</f>
        <v>1</v>
      </c>
      <c r="AZ29" t="b">
        <f>AF29=Table_ExternalData_156[[#This Row],[Calc_Wrap]]</f>
        <v>1</v>
      </c>
      <c r="BA29" t="b">
        <f>AG29=Table_ExternalData_156[[#This Row],[HoldTime]]</f>
        <v>1</v>
      </c>
      <c r="BB29" t="b">
        <f>AH29=Table_ExternalData_156[[#This Row],[AbandInterval1]]</f>
        <v>1</v>
      </c>
      <c r="BC29" t="b">
        <f>AI29=Table_ExternalData_156[[#This Row],[SysOut]]</f>
        <v>1</v>
      </c>
    </row>
    <row r="30" spans="1:55" x14ac:dyDescent="0.3">
      <c r="A30" t="s">
        <v>24</v>
      </c>
      <c r="B30" s="22">
        <v>42885</v>
      </c>
      <c r="C30" s="16">
        <v>42885.75</v>
      </c>
      <c r="D30">
        <v>6108</v>
      </c>
      <c r="E30" t="s">
        <v>253</v>
      </c>
      <c r="F30">
        <v>47465</v>
      </c>
      <c r="G30">
        <v>141</v>
      </c>
      <c r="H30" s="48">
        <v>336.63</v>
      </c>
      <c r="I30">
        <v>42509</v>
      </c>
      <c r="J30">
        <v>0</v>
      </c>
      <c r="K30">
        <v>301.48</v>
      </c>
      <c r="L30">
        <v>5437</v>
      </c>
      <c r="M30">
        <v>45955</v>
      </c>
      <c r="N30">
        <v>260</v>
      </c>
      <c r="O30">
        <v>1229</v>
      </c>
      <c r="P30">
        <v>0</v>
      </c>
      <c r="Q30">
        <v>0</v>
      </c>
      <c r="T30" s="22">
        <v>42885</v>
      </c>
      <c r="U30" s="46">
        <v>42885.75</v>
      </c>
      <c r="V30">
        <v>6108</v>
      </c>
      <c r="W30" t="s">
        <v>253</v>
      </c>
      <c r="X30">
        <v>47465</v>
      </c>
      <c r="Y30">
        <v>141</v>
      </c>
      <c r="Z30" s="48">
        <v>336.63</v>
      </c>
      <c r="AA30">
        <v>42509</v>
      </c>
      <c r="AB30">
        <v>0</v>
      </c>
      <c r="AC30">
        <v>301.48</v>
      </c>
      <c r="AD30">
        <v>5437</v>
      </c>
      <c r="AE30">
        <v>45955</v>
      </c>
      <c r="AF30">
        <v>260</v>
      </c>
      <c r="AG30">
        <v>1229</v>
      </c>
      <c r="AH30">
        <v>0</v>
      </c>
      <c r="AI30">
        <v>0</v>
      </c>
      <c r="AK30" t="str">
        <f>Table_ExternalData_156[[#This Row],[TestNo]]</f>
        <v>PP7 - PP15</v>
      </c>
      <c r="AL30">
        <f>Table_ExternalData_156[[#This Row],[Date]]</f>
        <v>42885</v>
      </c>
      <c r="AM30" s="30">
        <f>Table_ExternalData_156[[#This Row],[DateTime]]</f>
        <v>42885.75</v>
      </c>
      <c r="AN30" s="30">
        <f t="shared" si="0"/>
        <v>42885.75</v>
      </c>
      <c r="AO30" s="30" t="b">
        <f>IF(AND(AN30=AM30, AQ30=Table_ExternalData_156[[#This Row],[EnterpriseName]]), TRUE, FALSE)</f>
        <v>1</v>
      </c>
      <c r="AP30">
        <f>Table_ExternalData_156[[#This Row],[CallTypeID]]</f>
        <v>6108</v>
      </c>
      <c r="AQ30" t="str">
        <f>Table_ExternalData_156[[#This Row],[EnterpriseName]]</f>
        <v>CARC_CHCO_4263_SECSR</v>
      </c>
      <c r="AR30" t="b">
        <f>X30=Table_ExternalData_156[[#This Row],[HandleTime]]</f>
        <v>1</v>
      </c>
      <c r="AS30" t="b">
        <f>Y30=Table_ExternalData_156[[#This Row],[CallsHandled]]</f>
        <v>1</v>
      </c>
      <c r="AT30" t="b">
        <f>Z30=Table_ExternalData_156[[#This Row],[AHT]]</f>
        <v>1</v>
      </c>
      <c r="AU30" t="b">
        <f>AA30=Table_ExternalData_156[[#This Row],[AnswerWaitTime]]</f>
        <v>1</v>
      </c>
      <c r="AV30" t="b">
        <f>AB30=Table_ExternalData_156[[#This Row],[CallsAnswered]]</f>
        <v>1</v>
      </c>
      <c r="AW30" t="b">
        <f>AC30=Table_ExternalData_156[[#This Row],[ASA]]</f>
        <v>1</v>
      </c>
      <c r="AX30" t="b">
        <f>AD30=Table_ExternalData_156[[#This Row],[CallDelayAbandTime]]</f>
        <v>1</v>
      </c>
      <c r="AY30" t="b">
        <f>AE30=Table_ExternalData_156[[#This Row],[TalkTime]]</f>
        <v>1</v>
      </c>
      <c r="AZ30" t="b">
        <f>AF30=Table_ExternalData_156[[#This Row],[Calc_Wrap]]</f>
        <v>1</v>
      </c>
      <c r="BA30" t="b">
        <f>AG30=Table_ExternalData_156[[#This Row],[HoldTime]]</f>
        <v>1</v>
      </c>
      <c r="BB30" t="b">
        <f>AH30=Table_ExternalData_156[[#This Row],[AbandInterval1]]</f>
        <v>1</v>
      </c>
      <c r="BC30" t="b">
        <f>AI30=Table_ExternalData_156[[#This Row],[SysOut]]</f>
        <v>1</v>
      </c>
    </row>
    <row r="31" spans="1:55" x14ac:dyDescent="0.3">
      <c r="A31" t="s">
        <v>24</v>
      </c>
      <c r="B31" s="22">
        <v>42885</v>
      </c>
      <c r="C31" s="16">
        <v>42885.760416666664</v>
      </c>
      <c r="D31">
        <v>6108</v>
      </c>
      <c r="E31" t="s">
        <v>253</v>
      </c>
      <c r="F31">
        <v>55293</v>
      </c>
      <c r="G31">
        <v>140</v>
      </c>
      <c r="H31" s="48">
        <v>394.95</v>
      </c>
      <c r="I31">
        <v>45189</v>
      </c>
      <c r="J31">
        <v>0</v>
      </c>
      <c r="K31">
        <v>322.77999999999997</v>
      </c>
      <c r="L31">
        <v>6552</v>
      </c>
      <c r="M31">
        <v>53563</v>
      </c>
      <c r="N31">
        <v>243</v>
      </c>
      <c r="O31">
        <v>1449</v>
      </c>
      <c r="P31">
        <v>0</v>
      </c>
      <c r="Q31">
        <v>1</v>
      </c>
      <c r="T31" s="22">
        <v>42885</v>
      </c>
      <c r="U31" s="46">
        <v>42885.760416666664</v>
      </c>
      <c r="V31">
        <v>6108</v>
      </c>
      <c r="W31" t="s">
        <v>253</v>
      </c>
      <c r="X31">
        <v>55293</v>
      </c>
      <c r="Y31">
        <v>140</v>
      </c>
      <c r="Z31" s="48">
        <v>394.95</v>
      </c>
      <c r="AA31">
        <v>45189</v>
      </c>
      <c r="AB31">
        <v>0</v>
      </c>
      <c r="AC31">
        <v>322.77999999999997</v>
      </c>
      <c r="AD31">
        <v>6552</v>
      </c>
      <c r="AE31">
        <v>53563</v>
      </c>
      <c r="AF31">
        <v>243</v>
      </c>
      <c r="AG31">
        <v>1449</v>
      </c>
      <c r="AH31">
        <v>0</v>
      </c>
      <c r="AI31">
        <v>1</v>
      </c>
      <c r="AK31" t="str">
        <f>Table_ExternalData_156[[#This Row],[TestNo]]</f>
        <v>PP7 - PP15</v>
      </c>
      <c r="AL31">
        <f>Table_ExternalData_156[[#This Row],[Date]]</f>
        <v>42885</v>
      </c>
      <c r="AM31" s="30">
        <f>Table_ExternalData_156[[#This Row],[DateTime]]</f>
        <v>42885.760416666664</v>
      </c>
      <c r="AN31" s="30">
        <f t="shared" si="0"/>
        <v>42885.760416666664</v>
      </c>
      <c r="AO31" s="30" t="b">
        <f>IF(AND(AN31=AM31, AQ31=Table_ExternalData_156[[#This Row],[EnterpriseName]]), TRUE, FALSE)</f>
        <v>1</v>
      </c>
      <c r="AP31">
        <f>Table_ExternalData_156[[#This Row],[CallTypeID]]</f>
        <v>6108</v>
      </c>
      <c r="AQ31" t="str">
        <f>Table_ExternalData_156[[#This Row],[EnterpriseName]]</f>
        <v>CARC_CHCO_4263_SECSR</v>
      </c>
      <c r="AR31" t="b">
        <f>X31=Table_ExternalData_156[[#This Row],[HandleTime]]</f>
        <v>1</v>
      </c>
      <c r="AS31" t="b">
        <f>Y31=Table_ExternalData_156[[#This Row],[CallsHandled]]</f>
        <v>1</v>
      </c>
      <c r="AT31" t="b">
        <f>Z31=Table_ExternalData_156[[#This Row],[AHT]]</f>
        <v>1</v>
      </c>
      <c r="AU31" t="b">
        <f>AA31=Table_ExternalData_156[[#This Row],[AnswerWaitTime]]</f>
        <v>1</v>
      </c>
      <c r="AV31" t="b">
        <f>AB31=Table_ExternalData_156[[#This Row],[CallsAnswered]]</f>
        <v>1</v>
      </c>
      <c r="AW31" t="b">
        <f>AC31=Table_ExternalData_156[[#This Row],[ASA]]</f>
        <v>1</v>
      </c>
      <c r="AX31" t="b">
        <f>AD31=Table_ExternalData_156[[#This Row],[CallDelayAbandTime]]</f>
        <v>1</v>
      </c>
      <c r="AY31" t="b">
        <f>AE31=Table_ExternalData_156[[#This Row],[TalkTime]]</f>
        <v>1</v>
      </c>
      <c r="AZ31" t="b">
        <f>AF31=Table_ExternalData_156[[#This Row],[Calc_Wrap]]</f>
        <v>1</v>
      </c>
      <c r="BA31" t="b">
        <f>AG31=Table_ExternalData_156[[#This Row],[HoldTime]]</f>
        <v>1</v>
      </c>
      <c r="BB31" t="b">
        <f>AH31=Table_ExternalData_156[[#This Row],[AbandInterval1]]</f>
        <v>1</v>
      </c>
      <c r="BC31" t="b">
        <f>AI31=Table_ExternalData_156[[#This Row],[SysOut]]</f>
        <v>1</v>
      </c>
    </row>
    <row r="32" spans="1:55" x14ac:dyDescent="0.3">
      <c r="A32" t="s">
        <v>24</v>
      </c>
      <c r="B32" s="22">
        <v>42885</v>
      </c>
      <c r="C32" s="16">
        <v>42885.770833333336</v>
      </c>
      <c r="D32">
        <v>6108</v>
      </c>
      <c r="E32" t="s">
        <v>253</v>
      </c>
      <c r="F32">
        <v>61974</v>
      </c>
      <c r="G32">
        <v>154</v>
      </c>
      <c r="H32" s="48">
        <v>402.43</v>
      </c>
      <c r="I32">
        <v>55961</v>
      </c>
      <c r="J32">
        <v>0</v>
      </c>
      <c r="K32">
        <v>363.38</v>
      </c>
      <c r="L32">
        <v>12836</v>
      </c>
      <c r="M32">
        <v>59218</v>
      </c>
      <c r="N32">
        <v>246</v>
      </c>
      <c r="O32">
        <v>2462</v>
      </c>
      <c r="P32">
        <v>0</v>
      </c>
      <c r="Q32">
        <v>2</v>
      </c>
      <c r="T32" s="22">
        <v>42885</v>
      </c>
      <c r="U32" s="46">
        <v>42885.770833333336</v>
      </c>
      <c r="V32">
        <v>6108</v>
      </c>
      <c r="W32" t="s">
        <v>253</v>
      </c>
      <c r="X32">
        <v>61974</v>
      </c>
      <c r="Y32">
        <v>154</v>
      </c>
      <c r="Z32" s="48">
        <v>402.43</v>
      </c>
      <c r="AA32">
        <v>55961</v>
      </c>
      <c r="AB32">
        <v>0</v>
      </c>
      <c r="AC32">
        <v>363.38</v>
      </c>
      <c r="AD32">
        <v>12836</v>
      </c>
      <c r="AE32">
        <v>59218</v>
      </c>
      <c r="AF32">
        <v>246</v>
      </c>
      <c r="AG32">
        <v>2462</v>
      </c>
      <c r="AH32">
        <v>0</v>
      </c>
      <c r="AI32">
        <v>2</v>
      </c>
      <c r="AK32" t="str">
        <f>Table_ExternalData_156[[#This Row],[TestNo]]</f>
        <v>PP7 - PP15</v>
      </c>
      <c r="AL32">
        <f>Table_ExternalData_156[[#This Row],[Date]]</f>
        <v>42885</v>
      </c>
      <c r="AM32" s="30">
        <f>Table_ExternalData_156[[#This Row],[DateTime]]</f>
        <v>42885.770833333336</v>
      </c>
      <c r="AN32" s="30">
        <f t="shared" si="0"/>
        <v>42885.770833333336</v>
      </c>
      <c r="AO32" s="30" t="b">
        <f>IF(AND(AN32=AM32, AQ32=Table_ExternalData_156[[#This Row],[EnterpriseName]]), TRUE, FALSE)</f>
        <v>1</v>
      </c>
      <c r="AP32">
        <f>Table_ExternalData_156[[#This Row],[CallTypeID]]</f>
        <v>6108</v>
      </c>
      <c r="AQ32" t="str">
        <f>Table_ExternalData_156[[#This Row],[EnterpriseName]]</f>
        <v>CARC_CHCO_4263_SECSR</v>
      </c>
      <c r="AR32" t="b">
        <f>X32=Table_ExternalData_156[[#This Row],[HandleTime]]</f>
        <v>1</v>
      </c>
      <c r="AS32" t="b">
        <f>Y32=Table_ExternalData_156[[#This Row],[CallsHandled]]</f>
        <v>1</v>
      </c>
      <c r="AT32" t="b">
        <f>Z32=Table_ExternalData_156[[#This Row],[AHT]]</f>
        <v>1</v>
      </c>
      <c r="AU32" t="b">
        <f>AA32=Table_ExternalData_156[[#This Row],[AnswerWaitTime]]</f>
        <v>1</v>
      </c>
      <c r="AV32" t="b">
        <f>AB32=Table_ExternalData_156[[#This Row],[CallsAnswered]]</f>
        <v>1</v>
      </c>
      <c r="AW32" t="b">
        <f>AC32=Table_ExternalData_156[[#This Row],[ASA]]</f>
        <v>1</v>
      </c>
      <c r="AX32" t="b">
        <f>AD32=Table_ExternalData_156[[#This Row],[CallDelayAbandTime]]</f>
        <v>1</v>
      </c>
      <c r="AY32" t="b">
        <f>AE32=Table_ExternalData_156[[#This Row],[TalkTime]]</f>
        <v>1</v>
      </c>
      <c r="AZ32" t="b">
        <f>AF32=Table_ExternalData_156[[#This Row],[Calc_Wrap]]</f>
        <v>1</v>
      </c>
      <c r="BA32" t="b">
        <f>AG32=Table_ExternalData_156[[#This Row],[HoldTime]]</f>
        <v>1</v>
      </c>
      <c r="BB32" t="b">
        <f>AH32=Table_ExternalData_156[[#This Row],[AbandInterval1]]</f>
        <v>1</v>
      </c>
      <c r="BC32" t="b">
        <f>AI32=Table_ExternalData_156[[#This Row],[SysOut]]</f>
        <v>1</v>
      </c>
    </row>
    <row r="33" spans="1:55" x14ac:dyDescent="0.3">
      <c r="A33" t="s">
        <v>24</v>
      </c>
      <c r="B33" s="22">
        <v>42885</v>
      </c>
      <c r="C33" s="16">
        <v>42885.78125</v>
      </c>
      <c r="D33">
        <v>6108</v>
      </c>
      <c r="E33" t="s">
        <v>253</v>
      </c>
      <c r="F33">
        <v>58091</v>
      </c>
      <c r="G33">
        <v>141</v>
      </c>
      <c r="H33" s="48">
        <v>411.99</v>
      </c>
      <c r="I33">
        <v>50273</v>
      </c>
      <c r="J33">
        <v>0</v>
      </c>
      <c r="K33">
        <v>356.55</v>
      </c>
      <c r="L33">
        <v>9950</v>
      </c>
      <c r="M33">
        <v>55557</v>
      </c>
      <c r="N33">
        <v>225</v>
      </c>
      <c r="O33">
        <v>2259</v>
      </c>
      <c r="P33">
        <v>0</v>
      </c>
      <c r="Q33">
        <v>0</v>
      </c>
      <c r="T33" s="22">
        <v>42885</v>
      </c>
      <c r="U33" s="46">
        <v>42885.78125</v>
      </c>
      <c r="V33">
        <v>6108</v>
      </c>
      <c r="W33" t="s">
        <v>253</v>
      </c>
      <c r="X33">
        <v>58091</v>
      </c>
      <c r="Y33">
        <v>141</v>
      </c>
      <c r="Z33" s="48">
        <v>411.99</v>
      </c>
      <c r="AA33">
        <v>50273</v>
      </c>
      <c r="AB33">
        <v>0</v>
      </c>
      <c r="AC33">
        <v>356.55</v>
      </c>
      <c r="AD33">
        <v>9950</v>
      </c>
      <c r="AE33">
        <v>55557</v>
      </c>
      <c r="AF33">
        <v>225</v>
      </c>
      <c r="AG33">
        <v>2259</v>
      </c>
      <c r="AH33">
        <v>0</v>
      </c>
      <c r="AI33">
        <v>0</v>
      </c>
      <c r="AK33" t="str">
        <f>Table_ExternalData_156[[#This Row],[TestNo]]</f>
        <v>PP7 - PP15</v>
      </c>
      <c r="AL33">
        <f>Table_ExternalData_156[[#This Row],[Date]]</f>
        <v>42885</v>
      </c>
      <c r="AM33" s="30">
        <f>Table_ExternalData_156[[#This Row],[DateTime]]</f>
        <v>42885.78125</v>
      </c>
      <c r="AN33" s="30">
        <f t="shared" si="0"/>
        <v>42885.78125</v>
      </c>
      <c r="AO33" s="30" t="b">
        <f>IF(AND(AN33=AM33, AQ33=Table_ExternalData_156[[#This Row],[EnterpriseName]]), TRUE, FALSE)</f>
        <v>1</v>
      </c>
      <c r="AP33">
        <f>Table_ExternalData_156[[#This Row],[CallTypeID]]</f>
        <v>6108</v>
      </c>
      <c r="AQ33" t="str">
        <f>Table_ExternalData_156[[#This Row],[EnterpriseName]]</f>
        <v>CARC_CHCO_4263_SECSR</v>
      </c>
      <c r="AR33" t="b">
        <f>X33=Table_ExternalData_156[[#This Row],[HandleTime]]</f>
        <v>1</v>
      </c>
      <c r="AS33" t="b">
        <f>Y33=Table_ExternalData_156[[#This Row],[CallsHandled]]</f>
        <v>1</v>
      </c>
      <c r="AT33" t="b">
        <f>Z33=Table_ExternalData_156[[#This Row],[AHT]]</f>
        <v>1</v>
      </c>
      <c r="AU33" t="b">
        <f>AA33=Table_ExternalData_156[[#This Row],[AnswerWaitTime]]</f>
        <v>1</v>
      </c>
      <c r="AV33" t="b">
        <f>AB33=Table_ExternalData_156[[#This Row],[CallsAnswered]]</f>
        <v>1</v>
      </c>
      <c r="AW33" t="b">
        <f>AC33=Table_ExternalData_156[[#This Row],[ASA]]</f>
        <v>1</v>
      </c>
      <c r="AX33" t="b">
        <f>AD33=Table_ExternalData_156[[#This Row],[CallDelayAbandTime]]</f>
        <v>1</v>
      </c>
      <c r="AY33" t="b">
        <f>AE33=Table_ExternalData_156[[#This Row],[TalkTime]]</f>
        <v>1</v>
      </c>
      <c r="AZ33" t="b">
        <f>AF33=Table_ExternalData_156[[#This Row],[Calc_Wrap]]</f>
        <v>1</v>
      </c>
      <c r="BA33" t="b">
        <f>AG33=Table_ExternalData_156[[#This Row],[HoldTime]]</f>
        <v>1</v>
      </c>
      <c r="BB33" t="b">
        <f>AH33=Table_ExternalData_156[[#This Row],[AbandInterval1]]</f>
        <v>1</v>
      </c>
      <c r="BC33" t="b">
        <f>AI33=Table_ExternalData_156[[#This Row],[SysOut]]</f>
        <v>1</v>
      </c>
    </row>
    <row r="34" spans="1:55" x14ac:dyDescent="0.3">
      <c r="A34" t="s">
        <v>24</v>
      </c>
      <c r="B34" s="22">
        <v>42885</v>
      </c>
      <c r="C34" s="16">
        <v>42885.791666666664</v>
      </c>
      <c r="D34">
        <v>6108</v>
      </c>
      <c r="E34" t="s">
        <v>253</v>
      </c>
      <c r="F34">
        <v>60005</v>
      </c>
      <c r="G34">
        <v>158</v>
      </c>
      <c r="H34" s="48">
        <v>379.78</v>
      </c>
      <c r="I34">
        <v>37848</v>
      </c>
      <c r="J34">
        <v>0</v>
      </c>
      <c r="K34">
        <v>239.54</v>
      </c>
      <c r="L34">
        <v>3345</v>
      </c>
      <c r="M34">
        <v>57131</v>
      </c>
      <c r="N34">
        <v>194</v>
      </c>
      <c r="O34">
        <v>2560</v>
      </c>
      <c r="P34">
        <v>0</v>
      </c>
      <c r="Q34">
        <v>24</v>
      </c>
      <c r="T34" s="22">
        <v>42885</v>
      </c>
      <c r="U34" s="46">
        <v>42885.791666666664</v>
      </c>
      <c r="V34">
        <v>6108</v>
      </c>
      <c r="W34" t="s">
        <v>253</v>
      </c>
      <c r="X34">
        <v>60005</v>
      </c>
      <c r="Y34">
        <v>158</v>
      </c>
      <c r="Z34" s="48">
        <v>379.78</v>
      </c>
      <c r="AA34">
        <v>37848</v>
      </c>
      <c r="AB34">
        <v>0</v>
      </c>
      <c r="AC34">
        <v>239.54</v>
      </c>
      <c r="AD34">
        <v>3345</v>
      </c>
      <c r="AE34">
        <v>57131</v>
      </c>
      <c r="AF34">
        <v>194</v>
      </c>
      <c r="AG34">
        <v>2560</v>
      </c>
      <c r="AH34">
        <v>0</v>
      </c>
      <c r="AI34">
        <v>24</v>
      </c>
      <c r="AK34" t="str">
        <f>Table_ExternalData_156[[#This Row],[TestNo]]</f>
        <v>PP7 - PP15</v>
      </c>
      <c r="AL34">
        <f>Table_ExternalData_156[[#This Row],[Date]]</f>
        <v>42885</v>
      </c>
      <c r="AM34" s="30">
        <f>Table_ExternalData_156[[#This Row],[DateTime]]</f>
        <v>42885.791666666664</v>
      </c>
      <c r="AN34" s="30">
        <f t="shared" si="0"/>
        <v>42885.791666666664</v>
      </c>
      <c r="AO34" s="30" t="b">
        <f>IF(AND(AN34=AM34, AQ34=Table_ExternalData_156[[#This Row],[EnterpriseName]]), TRUE, FALSE)</f>
        <v>1</v>
      </c>
      <c r="AP34">
        <f>Table_ExternalData_156[[#This Row],[CallTypeID]]</f>
        <v>6108</v>
      </c>
      <c r="AQ34" t="str">
        <f>Table_ExternalData_156[[#This Row],[EnterpriseName]]</f>
        <v>CARC_CHCO_4263_SECSR</v>
      </c>
      <c r="AR34" t="b">
        <f>X34=Table_ExternalData_156[[#This Row],[HandleTime]]</f>
        <v>1</v>
      </c>
      <c r="AS34" t="b">
        <f>Y34=Table_ExternalData_156[[#This Row],[CallsHandled]]</f>
        <v>1</v>
      </c>
      <c r="AT34" t="b">
        <f>Z34=Table_ExternalData_156[[#This Row],[AHT]]</f>
        <v>1</v>
      </c>
      <c r="AU34" t="b">
        <f>AA34=Table_ExternalData_156[[#This Row],[AnswerWaitTime]]</f>
        <v>1</v>
      </c>
      <c r="AV34" t="b">
        <f>AB34=Table_ExternalData_156[[#This Row],[CallsAnswered]]</f>
        <v>1</v>
      </c>
      <c r="AW34" t="b">
        <f>AC34=Table_ExternalData_156[[#This Row],[ASA]]</f>
        <v>1</v>
      </c>
      <c r="AX34" t="b">
        <f>AD34=Table_ExternalData_156[[#This Row],[CallDelayAbandTime]]</f>
        <v>1</v>
      </c>
      <c r="AY34" t="b">
        <f>AE34=Table_ExternalData_156[[#This Row],[TalkTime]]</f>
        <v>1</v>
      </c>
      <c r="AZ34" t="b">
        <f>AF34=Table_ExternalData_156[[#This Row],[Calc_Wrap]]</f>
        <v>1</v>
      </c>
      <c r="BA34" t="b">
        <f>AG34=Table_ExternalData_156[[#This Row],[HoldTime]]</f>
        <v>1</v>
      </c>
      <c r="BB34" t="b">
        <f>AH34=Table_ExternalData_156[[#This Row],[AbandInterval1]]</f>
        <v>1</v>
      </c>
      <c r="BC34" t="b">
        <f>AI34=Table_ExternalData_156[[#This Row],[SysOut]]</f>
        <v>1</v>
      </c>
    </row>
    <row r="35" spans="1:55" x14ac:dyDescent="0.3">
      <c r="A35" t="s">
        <v>24</v>
      </c>
      <c r="B35" s="22">
        <v>42885</v>
      </c>
      <c r="C35" s="16">
        <v>42885.802083333336</v>
      </c>
      <c r="D35">
        <v>6108</v>
      </c>
      <c r="E35" t="s">
        <v>253</v>
      </c>
      <c r="F35">
        <v>56713</v>
      </c>
      <c r="G35">
        <v>160</v>
      </c>
      <c r="H35" s="48">
        <v>354.46</v>
      </c>
      <c r="I35">
        <v>22023</v>
      </c>
      <c r="J35">
        <v>0</v>
      </c>
      <c r="K35">
        <v>137.63999999999999</v>
      </c>
      <c r="L35">
        <v>2831</v>
      </c>
      <c r="M35">
        <v>54470</v>
      </c>
      <c r="N35">
        <v>260</v>
      </c>
      <c r="O35">
        <v>1924</v>
      </c>
      <c r="P35">
        <v>0</v>
      </c>
      <c r="Q35">
        <v>0</v>
      </c>
      <c r="T35" s="22">
        <v>42885</v>
      </c>
      <c r="U35" s="46">
        <v>42885.802083333336</v>
      </c>
      <c r="V35">
        <v>6108</v>
      </c>
      <c r="W35" t="s">
        <v>253</v>
      </c>
      <c r="X35">
        <v>56713</v>
      </c>
      <c r="Y35">
        <v>160</v>
      </c>
      <c r="Z35" s="48">
        <v>354.46</v>
      </c>
      <c r="AA35">
        <v>22023</v>
      </c>
      <c r="AB35">
        <v>0</v>
      </c>
      <c r="AC35">
        <v>137.63999999999999</v>
      </c>
      <c r="AD35">
        <v>2831</v>
      </c>
      <c r="AE35">
        <v>54470</v>
      </c>
      <c r="AF35">
        <v>260</v>
      </c>
      <c r="AG35">
        <v>1924</v>
      </c>
      <c r="AH35">
        <v>0</v>
      </c>
      <c r="AI35">
        <v>0</v>
      </c>
      <c r="AK35" t="str">
        <f>Table_ExternalData_156[[#This Row],[TestNo]]</f>
        <v>PP7 - PP15</v>
      </c>
      <c r="AL35">
        <f>Table_ExternalData_156[[#This Row],[Date]]</f>
        <v>42885</v>
      </c>
      <c r="AM35" s="30">
        <f>Table_ExternalData_156[[#This Row],[DateTime]]</f>
        <v>42885.802083333336</v>
      </c>
      <c r="AN35" s="30">
        <f t="shared" si="0"/>
        <v>42885.802083333336</v>
      </c>
      <c r="AO35" s="30" t="b">
        <f>IF(AND(AN35=AM35, AQ35=Table_ExternalData_156[[#This Row],[EnterpriseName]]), TRUE, FALSE)</f>
        <v>1</v>
      </c>
      <c r="AP35">
        <f>Table_ExternalData_156[[#This Row],[CallTypeID]]</f>
        <v>6108</v>
      </c>
      <c r="AQ35" t="str">
        <f>Table_ExternalData_156[[#This Row],[EnterpriseName]]</f>
        <v>CARC_CHCO_4263_SECSR</v>
      </c>
      <c r="AR35" t="b">
        <f>X35=Table_ExternalData_156[[#This Row],[HandleTime]]</f>
        <v>1</v>
      </c>
      <c r="AS35" t="b">
        <f>Y35=Table_ExternalData_156[[#This Row],[CallsHandled]]</f>
        <v>1</v>
      </c>
      <c r="AT35" t="b">
        <f>Z35=Table_ExternalData_156[[#This Row],[AHT]]</f>
        <v>1</v>
      </c>
      <c r="AU35" t="b">
        <f>AA35=Table_ExternalData_156[[#This Row],[AnswerWaitTime]]</f>
        <v>1</v>
      </c>
      <c r="AV35" t="b">
        <f>AB35=Table_ExternalData_156[[#This Row],[CallsAnswered]]</f>
        <v>1</v>
      </c>
      <c r="AW35" t="b">
        <f>AC35=Table_ExternalData_156[[#This Row],[ASA]]</f>
        <v>1</v>
      </c>
      <c r="AX35" t="b">
        <f>AD35=Table_ExternalData_156[[#This Row],[CallDelayAbandTime]]</f>
        <v>1</v>
      </c>
      <c r="AY35" t="b">
        <f>AE35=Table_ExternalData_156[[#This Row],[TalkTime]]</f>
        <v>1</v>
      </c>
      <c r="AZ35" t="b">
        <f>AF35=Table_ExternalData_156[[#This Row],[Calc_Wrap]]</f>
        <v>1</v>
      </c>
      <c r="BA35" t="b">
        <f>AG35=Table_ExternalData_156[[#This Row],[HoldTime]]</f>
        <v>1</v>
      </c>
      <c r="BB35" t="b">
        <f>AH35=Table_ExternalData_156[[#This Row],[AbandInterval1]]</f>
        <v>1</v>
      </c>
      <c r="BC35" t="b">
        <f>AI35=Table_ExternalData_156[[#This Row],[SysOut]]</f>
        <v>1</v>
      </c>
    </row>
    <row r="36" spans="1:55" x14ac:dyDescent="0.3">
      <c r="A36" t="s">
        <v>24</v>
      </c>
      <c r="B36" s="22">
        <v>42885</v>
      </c>
      <c r="C36" s="16">
        <v>42885.8125</v>
      </c>
      <c r="D36">
        <v>6108</v>
      </c>
      <c r="E36" t="s">
        <v>253</v>
      </c>
      <c r="F36">
        <v>55570</v>
      </c>
      <c r="G36">
        <v>136</v>
      </c>
      <c r="H36" s="48">
        <v>408.6</v>
      </c>
      <c r="I36">
        <v>23742</v>
      </c>
      <c r="J36">
        <v>0</v>
      </c>
      <c r="K36">
        <v>174.57</v>
      </c>
      <c r="L36">
        <v>2282</v>
      </c>
      <c r="M36">
        <v>51794</v>
      </c>
      <c r="N36">
        <v>289</v>
      </c>
      <c r="O36">
        <v>3502</v>
      </c>
      <c r="P36">
        <v>0</v>
      </c>
      <c r="Q36">
        <v>0</v>
      </c>
      <c r="T36" s="22">
        <v>42885</v>
      </c>
      <c r="U36" s="46">
        <v>42885.8125</v>
      </c>
      <c r="V36">
        <v>6108</v>
      </c>
      <c r="W36" t="s">
        <v>253</v>
      </c>
      <c r="X36">
        <v>55570</v>
      </c>
      <c r="Y36">
        <v>136</v>
      </c>
      <c r="Z36" s="48">
        <v>408.6</v>
      </c>
      <c r="AA36">
        <v>23742</v>
      </c>
      <c r="AB36">
        <v>0</v>
      </c>
      <c r="AC36">
        <v>174.57</v>
      </c>
      <c r="AD36">
        <v>2282</v>
      </c>
      <c r="AE36">
        <v>51794</v>
      </c>
      <c r="AF36">
        <v>289</v>
      </c>
      <c r="AG36">
        <v>3502</v>
      </c>
      <c r="AH36">
        <v>0</v>
      </c>
      <c r="AI36">
        <v>0</v>
      </c>
      <c r="AK36" t="str">
        <f>Table_ExternalData_156[[#This Row],[TestNo]]</f>
        <v>PP7 - PP15</v>
      </c>
      <c r="AL36">
        <f>Table_ExternalData_156[[#This Row],[Date]]</f>
        <v>42885</v>
      </c>
      <c r="AM36" s="30">
        <f>Table_ExternalData_156[[#This Row],[DateTime]]</f>
        <v>42885.8125</v>
      </c>
      <c r="AN36" s="30">
        <f t="shared" si="0"/>
        <v>42885.8125</v>
      </c>
      <c r="AO36" s="30" t="b">
        <f>IF(AND(AN36=AM36, AQ36=Table_ExternalData_156[[#This Row],[EnterpriseName]]), TRUE, FALSE)</f>
        <v>1</v>
      </c>
      <c r="AP36">
        <f>Table_ExternalData_156[[#This Row],[CallTypeID]]</f>
        <v>6108</v>
      </c>
      <c r="AQ36" t="str">
        <f>Table_ExternalData_156[[#This Row],[EnterpriseName]]</f>
        <v>CARC_CHCO_4263_SECSR</v>
      </c>
      <c r="AR36" t="b">
        <f>X36=Table_ExternalData_156[[#This Row],[HandleTime]]</f>
        <v>1</v>
      </c>
      <c r="AS36" t="b">
        <f>Y36=Table_ExternalData_156[[#This Row],[CallsHandled]]</f>
        <v>1</v>
      </c>
      <c r="AT36" t="b">
        <f>Z36=Table_ExternalData_156[[#This Row],[AHT]]</f>
        <v>1</v>
      </c>
      <c r="AU36" t="b">
        <f>AA36=Table_ExternalData_156[[#This Row],[AnswerWaitTime]]</f>
        <v>1</v>
      </c>
      <c r="AV36" t="b">
        <f>AB36=Table_ExternalData_156[[#This Row],[CallsAnswered]]</f>
        <v>1</v>
      </c>
      <c r="AW36" t="b">
        <f>AC36=Table_ExternalData_156[[#This Row],[ASA]]</f>
        <v>1</v>
      </c>
      <c r="AX36" t="b">
        <f>AD36=Table_ExternalData_156[[#This Row],[CallDelayAbandTime]]</f>
        <v>1</v>
      </c>
      <c r="AY36" t="b">
        <f>AE36=Table_ExternalData_156[[#This Row],[TalkTime]]</f>
        <v>1</v>
      </c>
      <c r="AZ36" t="b">
        <f>AF36=Table_ExternalData_156[[#This Row],[Calc_Wrap]]</f>
        <v>1</v>
      </c>
      <c r="BA36" t="b">
        <f>AG36=Table_ExternalData_156[[#This Row],[HoldTime]]</f>
        <v>1</v>
      </c>
      <c r="BB36" t="b">
        <f>AH36=Table_ExternalData_156[[#This Row],[AbandInterval1]]</f>
        <v>1</v>
      </c>
      <c r="BC36" t="b">
        <f>AI36=Table_ExternalData_156[[#This Row],[SysOut]]</f>
        <v>1</v>
      </c>
    </row>
    <row r="37" spans="1:55" x14ac:dyDescent="0.3">
      <c r="A37" t="s">
        <v>24</v>
      </c>
      <c r="B37" s="22">
        <v>42885</v>
      </c>
      <c r="C37" s="16">
        <v>42885.822916666664</v>
      </c>
      <c r="D37">
        <v>6108</v>
      </c>
      <c r="E37" t="s">
        <v>253</v>
      </c>
      <c r="F37">
        <v>45847</v>
      </c>
      <c r="G37">
        <v>123</v>
      </c>
      <c r="H37" s="48">
        <v>372.74</v>
      </c>
      <c r="I37">
        <v>10376</v>
      </c>
      <c r="J37">
        <v>0</v>
      </c>
      <c r="K37">
        <v>84.36</v>
      </c>
      <c r="L37">
        <v>564</v>
      </c>
      <c r="M37">
        <v>43931</v>
      </c>
      <c r="N37">
        <v>289</v>
      </c>
      <c r="O37">
        <v>1673</v>
      </c>
      <c r="P37">
        <v>1</v>
      </c>
      <c r="Q37">
        <v>0</v>
      </c>
      <c r="T37" s="22">
        <v>42885</v>
      </c>
      <c r="U37" s="46">
        <v>42885.822916666664</v>
      </c>
      <c r="V37">
        <v>6108</v>
      </c>
      <c r="W37" t="s">
        <v>253</v>
      </c>
      <c r="X37">
        <v>45847</v>
      </c>
      <c r="Y37">
        <v>123</v>
      </c>
      <c r="Z37" s="48">
        <v>372.74</v>
      </c>
      <c r="AA37">
        <v>10376</v>
      </c>
      <c r="AB37">
        <v>0</v>
      </c>
      <c r="AC37">
        <v>84.36</v>
      </c>
      <c r="AD37">
        <v>564</v>
      </c>
      <c r="AE37">
        <v>43931</v>
      </c>
      <c r="AF37">
        <v>289</v>
      </c>
      <c r="AG37">
        <v>1673</v>
      </c>
      <c r="AH37">
        <v>1</v>
      </c>
      <c r="AI37">
        <v>0</v>
      </c>
      <c r="AK37" t="str">
        <f>Table_ExternalData_156[[#This Row],[TestNo]]</f>
        <v>PP7 - PP15</v>
      </c>
      <c r="AL37">
        <f>Table_ExternalData_156[[#This Row],[Date]]</f>
        <v>42885</v>
      </c>
      <c r="AM37" s="30">
        <f>Table_ExternalData_156[[#This Row],[DateTime]]</f>
        <v>42885.822916666664</v>
      </c>
      <c r="AN37" s="30">
        <f t="shared" si="0"/>
        <v>42885.822916666664</v>
      </c>
      <c r="AO37" s="30" t="b">
        <f>IF(AND(AN37=AM37, AQ37=Table_ExternalData_156[[#This Row],[EnterpriseName]]), TRUE, FALSE)</f>
        <v>1</v>
      </c>
      <c r="AP37">
        <f>Table_ExternalData_156[[#This Row],[CallTypeID]]</f>
        <v>6108</v>
      </c>
      <c r="AQ37" t="str">
        <f>Table_ExternalData_156[[#This Row],[EnterpriseName]]</f>
        <v>CARC_CHCO_4263_SECSR</v>
      </c>
      <c r="AR37" t="b">
        <f>X37=Table_ExternalData_156[[#This Row],[HandleTime]]</f>
        <v>1</v>
      </c>
      <c r="AS37" t="b">
        <f>Y37=Table_ExternalData_156[[#This Row],[CallsHandled]]</f>
        <v>1</v>
      </c>
      <c r="AT37" t="b">
        <f>Z37=Table_ExternalData_156[[#This Row],[AHT]]</f>
        <v>1</v>
      </c>
      <c r="AU37" t="b">
        <f>AA37=Table_ExternalData_156[[#This Row],[AnswerWaitTime]]</f>
        <v>1</v>
      </c>
      <c r="AV37" t="b">
        <f>AB37=Table_ExternalData_156[[#This Row],[CallsAnswered]]</f>
        <v>1</v>
      </c>
      <c r="AW37" t="b">
        <f>AC37=Table_ExternalData_156[[#This Row],[ASA]]</f>
        <v>1</v>
      </c>
      <c r="AX37" t="b">
        <f>AD37=Table_ExternalData_156[[#This Row],[CallDelayAbandTime]]</f>
        <v>1</v>
      </c>
      <c r="AY37" t="b">
        <f>AE37=Table_ExternalData_156[[#This Row],[TalkTime]]</f>
        <v>1</v>
      </c>
      <c r="AZ37" t="b">
        <f>AF37=Table_ExternalData_156[[#This Row],[Calc_Wrap]]</f>
        <v>1</v>
      </c>
      <c r="BA37" t="b">
        <f>AG37=Table_ExternalData_156[[#This Row],[HoldTime]]</f>
        <v>1</v>
      </c>
      <c r="BB37" t="b">
        <f>AH37=Table_ExternalData_156[[#This Row],[AbandInterval1]]</f>
        <v>1</v>
      </c>
      <c r="BC37" t="b">
        <f>AI37=Table_ExternalData_156[[#This Row],[SysOut]]</f>
        <v>1</v>
      </c>
    </row>
    <row r="38" spans="1:55" x14ac:dyDescent="0.3">
      <c r="A38" t="s">
        <v>24</v>
      </c>
      <c r="B38" s="22">
        <v>42885</v>
      </c>
      <c r="C38" s="16">
        <v>42885.833333333336</v>
      </c>
      <c r="D38">
        <v>6108</v>
      </c>
      <c r="E38" t="s">
        <v>253</v>
      </c>
      <c r="F38">
        <v>33358</v>
      </c>
      <c r="G38">
        <v>66</v>
      </c>
      <c r="H38" s="48">
        <v>505.42</v>
      </c>
      <c r="I38">
        <v>8</v>
      </c>
      <c r="J38">
        <v>0</v>
      </c>
      <c r="K38">
        <v>0.12</v>
      </c>
      <c r="L38">
        <v>0</v>
      </c>
      <c r="M38">
        <v>32113</v>
      </c>
      <c r="N38">
        <v>265</v>
      </c>
      <c r="O38">
        <v>1113</v>
      </c>
      <c r="P38">
        <v>0</v>
      </c>
      <c r="Q38">
        <v>0</v>
      </c>
      <c r="T38" s="22">
        <v>42885</v>
      </c>
      <c r="U38" s="46">
        <v>42885.833333333336</v>
      </c>
      <c r="V38">
        <v>6108</v>
      </c>
      <c r="W38" t="s">
        <v>253</v>
      </c>
      <c r="X38">
        <v>33358</v>
      </c>
      <c r="Y38">
        <v>66</v>
      </c>
      <c r="Z38" s="48">
        <v>505.42</v>
      </c>
      <c r="AA38">
        <v>8</v>
      </c>
      <c r="AB38">
        <v>0</v>
      </c>
      <c r="AC38">
        <v>0.12</v>
      </c>
      <c r="AD38">
        <v>0</v>
      </c>
      <c r="AE38">
        <v>32113</v>
      </c>
      <c r="AF38">
        <v>265</v>
      </c>
      <c r="AG38">
        <v>1113</v>
      </c>
      <c r="AH38">
        <v>0</v>
      </c>
      <c r="AI38">
        <v>0</v>
      </c>
      <c r="AK38" t="str">
        <f>Table_ExternalData_156[[#This Row],[TestNo]]</f>
        <v>PP7 - PP15</v>
      </c>
      <c r="AL38">
        <f>Table_ExternalData_156[[#This Row],[Date]]</f>
        <v>42885</v>
      </c>
      <c r="AM38" s="30">
        <f>Table_ExternalData_156[[#This Row],[DateTime]]</f>
        <v>42885.833333333336</v>
      </c>
      <c r="AN38" s="30">
        <f t="shared" si="0"/>
        <v>42885.833333333336</v>
      </c>
      <c r="AO38" s="30" t="b">
        <f>IF(AND(AN38=AM38, AQ38=Table_ExternalData_156[[#This Row],[EnterpriseName]]), TRUE, FALSE)</f>
        <v>1</v>
      </c>
      <c r="AP38">
        <f>Table_ExternalData_156[[#This Row],[CallTypeID]]</f>
        <v>6108</v>
      </c>
      <c r="AQ38" t="str">
        <f>Table_ExternalData_156[[#This Row],[EnterpriseName]]</f>
        <v>CARC_CHCO_4263_SECSR</v>
      </c>
      <c r="AR38" t="b">
        <f>X38=Table_ExternalData_156[[#This Row],[HandleTime]]</f>
        <v>1</v>
      </c>
      <c r="AS38" t="b">
        <f>Y38=Table_ExternalData_156[[#This Row],[CallsHandled]]</f>
        <v>1</v>
      </c>
      <c r="AT38" t="b">
        <f>Z38=Table_ExternalData_156[[#This Row],[AHT]]</f>
        <v>1</v>
      </c>
      <c r="AU38" t="b">
        <f>AA38=Table_ExternalData_156[[#This Row],[AnswerWaitTime]]</f>
        <v>1</v>
      </c>
      <c r="AV38" t="b">
        <f>AB38=Table_ExternalData_156[[#This Row],[CallsAnswered]]</f>
        <v>1</v>
      </c>
      <c r="AW38" t="b">
        <f>AC38=Table_ExternalData_156[[#This Row],[ASA]]</f>
        <v>1</v>
      </c>
      <c r="AX38" t="b">
        <f>AD38=Table_ExternalData_156[[#This Row],[CallDelayAbandTime]]</f>
        <v>1</v>
      </c>
      <c r="AY38" t="b">
        <f>AE38=Table_ExternalData_156[[#This Row],[TalkTime]]</f>
        <v>1</v>
      </c>
      <c r="AZ38" t="b">
        <f>AF38=Table_ExternalData_156[[#This Row],[Calc_Wrap]]</f>
        <v>1</v>
      </c>
      <c r="BA38" t="b">
        <f>AG38=Table_ExternalData_156[[#This Row],[HoldTime]]</f>
        <v>1</v>
      </c>
      <c r="BB38" t="b">
        <f>AH38=Table_ExternalData_156[[#This Row],[AbandInterval1]]</f>
        <v>1</v>
      </c>
      <c r="BC38" t="b">
        <f>AI38=Table_ExternalData_156[[#This Row],[SysOut]]</f>
        <v>1</v>
      </c>
    </row>
    <row r="39" spans="1:55" x14ac:dyDescent="0.3">
      <c r="A39" t="s">
        <v>24</v>
      </c>
      <c r="B39" s="22">
        <v>42885</v>
      </c>
      <c r="C39" s="16">
        <v>42885.84375</v>
      </c>
      <c r="D39">
        <v>6108</v>
      </c>
      <c r="E39" t="s">
        <v>253</v>
      </c>
      <c r="F39">
        <v>3407</v>
      </c>
      <c r="G39">
        <v>2</v>
      </c>
      <c r="H39" s="48">
        <v>1703.5</v>
      </c>
      <c r="I39">
        <v>0</v>
      </c>
      <c r="J39">
        <v>0</v>
      </c>
      <c r="K39">
        <v>0</v>
      </c>
      <c r="L39">
        <v>0</v>
      </c>
      <c r="M39">
        <v>3402</v>
      </c>
      <c r="N39">
        <v>246</v>
      </c>
      <c r="O39">
        <v>0</v>
      </c>
      <c r="P39">
        <v>0</v>
      </c>
      <c r="Q39">
        <v>0</v>
      </c>
      <c r="T39" s="22">
        <v>42885</v>
      </c>
      <c r="U39" s="46">
        <v>42885.84375</v>
      </c>
      <c r="V39">
        <v>6108</v>
      </c>
      <c r="W39" t="s">
        <v>253</v>
      </c>
      <c r="X39">
        <v>3407</v>
      </c>
      <c r="Y39">
        <v>2</v>
      </c>
      <c r="Z39" s="48">
        <v>1703.5</v>
      </c>
      <c r="AA39">
        <v>0</v>
      </c>
      <c r="AB39">
        <v>0</v>
      </c>
      <c r="AC39">
        <v>0</v>
      </c>
      <c r="AD39">
        <v>0</v>
      </c>
      <c r="AE39">
        <v>3402</v>
      </c>
      <c r="AF39">
        <v>246</v>
      </c>
      <c r="AG39">
        <v>0</v>
      </c>
      <c r="AH39">
        <v>0</v>
      </c>
      <c r="AI39">
        <v>0</v>
      </c>
      <c r="AK39" t="str">
        <f>Table_ExternalData_156[[#This Row],[TestNo]]</f>
        <v>PP7 - PP15</v>
      </c>
      <c r="AL39">
        <f>Table_ExternalData_156[[#This Row],[Date]]</f>
        <v>42885</v>
      </c>
      <c r="AM39" s="30">
        <f>Table_ExternalData_156[[#This Row],[DateTime]]</f>
        <v>42885.84375</v>
      </c>
      <c r="AN39" s="30">
        <f t="shared" si="0"/>
        <v>42885.84375</v>
      </c>
      <c r="AO39" s="30" t="b">
        <f>IF(AND(AN39=AM39, AQ39=Table_ExternalData_156[[#This Row],[EnterpriseName]]), TRUE, FALSE)</f>
        <v>1</v>
      </c>
      <c r="AP39">
        <f>Table_ExternalData_156[[#This Row],[CallTypeID]]</f>
        <v>6108</v>
      </c>
      <c r="AQ39" t="str">
        <f>Table_ExternalData_156[[#This Row],[EnterpriseName]]</f>
        <v>CARC_CHCO_4263_SECSR</v>
      </c>
      <c r="AR39" t="b">
        <f>X39=Table_ExternalData_156[[#This Row],[HandleTime]]</f>
        <v>1</v>
      </c>
      <c r="AS39" t="b">
        <f>Y39=Table_ExternalData_156[[#This Row],[CallsHandled]]</f>
        <v>1</v>
      </c>
      <c r="AT39" t="b">
        <f>Z39=Table_ExternalData_156[[#This Row],[AHT]]</f>
        <v>1</v>
      </c>
      <c r="AU39" t="b">
        <f>AA39=Table_ExternalData_156[[#This Row],[AnswerWaitTime]]</f>
        <v>1</v>
      </c>
      <c r="AV39" t="b">
        <f>AB39=Table_ExternalData_156[[#This Row],[CallsAnswered]]</f>
        <v>1</v>
      </c>
      <c r="AW39" t="b">
        <f>AC39=Table_ExternalData_156[[#This Row],[ASA]]</f>
        <v>1</v>
      </c>
      <c r="AX39" t="b">
        <f>AD39=Table_ExternalData_156[[#This Row],[CallDelayAbandTime]]</f>
        <v>1</v>
      </c>
      <c r="AY39" t="b">
        <f>AE39=Table_ExternalData_156[[#This Row],[TalkTime]]</f>
        <v>1</v>
      </c>
      <c r="AZ39" t="b">
        <f>AF39=Table_ExternalData_156[[#This Row],[Calc_Wrap]]</f>
        <v>1</v>
      </c>
      <c r="BA39" t="b">
        <f>AG39=Table_ExternalData_156[[#This Row],[HoldTime]]</f>
        <v>1</v>
      </c>
      <c r="BB39" t="b">
        <f>AH39=Table_ExternalData_156[[#This Row],[AbandInterval1]]</f>
        <v>1</v>
      </c>
      <c r="BC39" t="b">
        <f>AI39=Table_ExternalData_156[[#This Row],[SysOut]]</f>
        <v>1</v>
      </c>
    </row>
    <row r="40" spans="1:55" x14ac:dyDescent="0.3">
      <c r="C40" s="16"/>
      <c r="N40">
        <v>320</v>
      </c>
      <c r="T40" s="22"/>
      <c r="U40" s="46"/>
    </row>
    <row r="41" spans="1:55" x14ac:dyDescent="0.3">
      <c r="C41" s="16"/>
      <c r="N41">
        <v>278</v>
      </c>
      <c r="T41" s="22"/>
      <c r="U41" s="46"/>
    </row>
    <row r="42" spans="1:55" x14ac:dyDescent="0.3">
      <c r="C42" s="16"/>
      <c r="N42">
        <v>281</v>
      </c>
      <c r="T42" s="22"/>
      <c r="U42" s="16"/>
    </row>
    <row r="43" spans="1:55" x14ac:dyDescent="0.3">
      <c r="C43" s="16"/>
      <c r="N43">
        <v>281</v>
      </c>
      <c r="T43" s="22"/>
      <c r="U43" s="16"/>
    </row>
    <row r="44" spans="1:55" x14ac:dyDescent="0.3">
      <c r="C44" s="16"/>
      <c r="N44">
        <v>294</v>
      </c>
      <c r="T44" s="22"/>
      <c r="U44" s="16"/>
    </row>
    <row r="45" spans="1:55" x14ac:dyDescent="0.3">
      <c r="C45" s="16"/>
      <c r="N45">
        <v>275</v>
      </c>
      <c r="T45" s="22"/>
      <c r="U45" s="16"/>
    </row>
    <row r="46" spans="1:55" x14ac:dyDescent="0.3">
      <c r="C46" s="16"/>
      <c r="N46">
        <v>314</v>
      </c>
      <c r="T46" s="22"/>
      <c r="U46" s="16"/>
    </row>
    <row r="47" spans="1:55" x14ac:dyDescent="0.3">
      <c r="C47" s="16"/>
      <c r="N47">
        <v>319</v>
      </c>
      <c r="T47" s="22"/>
      <c r="U47" s="16"/>
    </row>
    <row r="48" spans="1:55" x14ac:dyDescent="0.3">
      <c r="C48" s="16"/>
      <c r="N48">
        <v>274</v>
      </c>
      <c r="T48" s="22"/>
      <c r="U48" s="16"/>
    </row>
    <row r="49" spans="3:40" x14ac:dyDescent="0.3">
      <c r="C49" s="16"/>
      <c r="N49">
        <v>243</v>
      </c>
      <c r="T49" s="22"/>
      <c r="U49" s="16"/>
    </row>
    <row r="50" spans="3:40" x14ac:dyDescent="0.3">
      <c r="C50" s="16"/>
      <c r="N50">
        <v>132</v>
      </c>
      <c r="T50" s="22"/>
      <c r="U50" s="16"/>
    </row>
    <row r="51" spans="3:40" x14ac:dyDescent="0.3">
      <c r="C51" s="16"/>
      <c r="N51">
        <v>5</v>
      </c>
      <c r="T51" s="22"/>
      <c r="U51" s="16"/>
      <c r="AN51" s="31"/>
    </row>
    <row r="52" spans="3:40" x14ac:dyDescent="0.3">
      <c r="C52" s="16"/>
      <c r="T52" s="22"/>
      <c r="U52" s="16"/>
    </row>
    <row r="53" spans="3:40" x14ac:dyDescent="0.3">
      <c r="C53" s="16"/>
      <c r="T53" s="22"/>
      <c r="U53" s="16"/>
    </row>
    <row r="54" spans="3:40" x14ac:dyDescent="0.3">
      <c r="C54" s="16"/>
      <c r="T54" s="22"/>
      <c r="U54" s="16"/>
    </row>
    <row r="55" spans="3:40" x14ac:dyDescent="0.3">
      <c r="C55" s="16"/>
      <c r="T55" s="22"/>
      <c r="U55" s="16"/>
    </row>
    <row r="56" spans="3:40" x14ac:dyDescent="0.3">
      <c r="C56" s="16"/>
      <c r="T56" s="22"/>
      <c r="U56" s="16"/>
    </row>
    <row r="57" spans="3:40" x14ac:dyDescent="0.3">
      <c r="C57" s="16"/>
      <c r="T57" s="22"/>
      <c r="U57" s="16"/>
    </row>
    <row r="58" spans="3:40" x14ac:dyDescent="0.3">
      <c r="C58" s="16"/>
      <c r="T58" s="22"/>
      <c r="U58" s="16"/>
    </row>
    <row r="59" spans="3:40" x14ac:dyDescent="0.3">
      <c r="C59" s="16"/>
      <c r="T59" s="22"/>
      <c r="U59" s="16"/>
    </row>
    <row r="60" spans="3:40" x14ac:dyDescent="0.3">
      <c r="C60" s="16"/>
      <c r="T60" s="22"/>
      <c r="U60" s="16"/>
    </row>
    <row r="61" spans="3:40" x14ac:dyDescent="0.3">
      <c r="C61" s="16"/>
      <c r="T61" s="22"/>
      <c r="U61" s="16"/>
    </row>
    <row r="62" spans="3:40" x14ac:dyDescent="0.3">
      <c r="C62" s="16"/>
      <c r="T62" s="22"/>
      <c r="U62" s="16"/>
    </row>
    <row r="63" spans="3:40" x14ac:dyDescent="0.3">
      <c r="C63" s="16"/>
      <c r="T63" s="22"/>
      <c r="U63" s="16"/>
    </row>
    <row r="64" spans="3:40" x14ac:dyDescent="0.3">
      <c r="C64" s="16"/>
      <c r="T64" s="22"/>
      <c r="U64" s="16"/>
    </row>
    <row r="65" spans="3:21" x14ac:dyDescent="0.3">
      <c r="C65" s="16"/>
      <c r="T65" s="22"/>
      <c r="U65" s="16"/>
    </row>
    <row r="66" spans="3:21" x14ac:dyDescent="0.3">
      <c r="C66" s="16"/>
      <c r="T66" s="22"/>
      <c r="U66" s="16"/>
    </row>
    <row r="67" spans="3:21" x14ac:dyDescent="0.3">
      <c r="C67" s="16"/>
      <c r="T67" s="22"/>
      <c r="U67" s="16"/>
    </row>
    <row r="68" spans="3:21" x14ac:dyDescent="0.3">
      <c r="C68" s="16"/>
      <c r="T68" s="22"/>
      <c r="U68" s="16"/>
    </row>
    <row r="69" spans="3:21" x14ac:dyDescent="0.3">
      <c r="C69" s="16"/>
      <c r="T69" s="22"/>
      <c r="U69" s="16"/>
    </row>
    <row r="70" spans="3:21" x14ac:dyDescent="0.3">
      <c r="C70" s="16"/>
      <c r="T70" s="22"/>
      <c r="U70" s="16"/>
    </row>
    <row r="71" spans="3:21" x14ac:dyDescent="0.3">
      <c r="C71" s="16"/>
      <c r="T71" s="22"/>
      <c r="U71" s="16"/>
    </row>
    <row r="72" spans="3:21" x14ac:dyDescent="0.3">
      <c r="C72" s="16"/>
      <c r="T72" s="22"/>
      <c r="U72" s="16"/>
    </row>
    <row r="73" spans="3:21" x14ac:dyDescent="0.3">
      <c r="C73" s="16"/>
      <c r="T73" s="22"/>
      <c r="U73" s="16"/>
    </row>
    <row r="74" spans="3:21" x14ac:dyDescent="0.3">
      <c r="C74" s="16"/>
      <c r="T74" s="22"/>
      <c r="U74" s="16"/>
    </row>
    <row r="75" spans="3:21" x14ac:dyDescent="0.3">
      <c r="C75" s="16"/>
      <c r="T75" s="22"/>
      <c r="U75" s="16"/>
    </row>
    <row r="76" spans="3:21" x14ac:dyDescent="0.3">
      <c r="C76" s="16"/>
      <c r="T76" s="22"/>
      <c r="U76" s="16"/>
    </row>
    <row r="77" spans="3:21" x14ac:dyDescent="0.3">
      <c r="C77" s="16"/>
      <c r="T77" s="22"/>
      <c r="U77" s="16"/>
    </row>
    <row r="78" spans="3:21" x14ac:dyDescent="0.3">
      <c r="C78" s="16"/>
      <c r="T78" s="22"/>
      <c r="U78" s="16"/>
    </row>
    <row r="79" spans="3:21" x14ac:dyDescent="0.3">
      <c r="C79" s="16"/>
      <c r="T79" s="22"/>
      <c r="U79" s="16"/>
    </row>
    <row r="80" spans="3:21" x14ac:dyDescent="0.3">
      <c r="C80" s="16"/>
      <c r="T80" s="22"/>
      <c r="U80" s="16"/>
    </row>
    <row r="81" spans="3:21" x14ac:dyDescent="0.3">
      <c r="C81" s="16"/>
      <c r="T81" s="22"/>
      <c r="U81" s="16"/>
    </row>
    <row r="82" spans="3:21" x14ac:dyDescent="0.3">
      <c r="C82" s="16"/>
      <c r="T82" s="22"/>
      <c r="U82" s="16"/>
    </row>
    <row r="83" spans="3:21" x14ac:dyDescent="0.3">
      <c r="C83" s="16"/>
      <c r="T83" s="22"/>
      <c r="U83" s="16"/>
    </row>
    <row r="84" spans="3:21" x14ac:dyDescent="0.3">
      <c r="C84" s="16"/>
      <c r="T84" s="22"/>
      <c r="U84" s="16"/>
    </row>
    <row r="85" spans="3:21" x14ac:dyDescent="0.3">
      <c r="C85" s="16"/>
      <c r="T85" s="22"/>
      <c r="U85" s="16"/>
    </row>
    <row r="86" spans="3:21" x14ac:dyDescent="0.3">
      <c r="C86" s="16"/>
      <c r="T86" s="22"/>
      <c r="U86" s="16"/>
    </row>
    <row r="87" spans="3:21" x14ac:dyDescent="0.3">
      <c r="C87" s="16"/>
      <c r="T87" s="22"/>
      <c r="U87" s="16"/>
    </row>
    <row r="88" spans="3:21" x14ac:dyDescent="0.3">
      <c r="C88" s="16"/>
      <c r="T88" s="22"/>
      <c r="U88" s="16"/>
    </row>
    <row r="89" spans="3:21" x14ac:dyDescent="0.3">
      <c r="C89" s="16"/>
      <c r="T89" s="22"/>
      <c r="U89" s="16"/>
    </row>
    <row r="90" spans="3:21" x14ac:dyDescent="0.3">
      <c r="C90" s="16"/>
      <c r="T90" s="22"/>
      <c r="U90" s="16"/>
    </row>
    <row r="91" spans="3:21" x14ac:dyDescent="0.3">
      <c r="C91" s="16"/>
      <c r="T91" s="22"/>
      <c r="U91" s="16"/>
    </row>
    <row r="92" spans="3:21" x14ac:dyDescent="0.3">
      <c r="C92" s="16"/>
      <c r="T92" s="22"/>
      <c r="U92" s="16"/>
    </row>
    <row r="93" spans="3:21" x14ac:dyDescent="0.3">
      <c r="C93" s="16"/>
      <c r="T93" s="22"/>
      <c r="U93" s="16"/>
    </row>
    <row r="94" spans="3:21" x14ac:dyDescent="0.3">
      <c r="C94" s="16"/>
      <c r="T94" s="22"/>
      <c r="U94" s="16"/>
    </row>
    <row r="95" spans="3:21" x14ac:dyDescent="0.3">
      <c r="C95" s="16"/>
      <c r="T95" s="22"/>
      <c r="U95" s="16"/>
    </row>
    <row r="96" spans="3:21" x14ac:dyDescent="0.3">
      <c r="C96" s="16"/>
      <c r="T96" s="22"/>
      <c r="U96" s="16"/>
    </row>
    <row r="97" spans="3:26" x14ac:dyDescent="0.3">
      <c r="C97" s="16"/>
      <c r="T97" s="22"/>
      <c r="U97" s="16"/>
    </row>
    <row r="98" spans="3:26" x14ac:dyDescent="0.3">
      <c r="C98" s="16"/>
      <c r="T98" s="22"/>
      <c r="U98" s="16"/>
    </row>
    <row r="99" spans="3:26" x14ac:dyDescent="0.3">
      <c r="C99" s="16"/>
      <c r="T99" s="22"/>
      <c r="U99" s="16"/>
    </row>
    <row r="100" spans="3:26" x14ac:dyDescent="0.3">
      <c r="C100" s="16"/>
      <c r="T100" s="22"/>
      <c r="U100" s="16"/>
    </row>
    <row r="101" spans="3:26" x14ac:dyDescent="0.3">
      <c r="C101" s="16"/>
      <c r="T101" s="22"/>
      <c r="U101" s="16"/>
    </row>
    <row r="102" spans="3:26" x14ac:dyDescent="0.3">
      <c r="C102" s="16"/>
      <c r="T102" s="22"/>
      <c r="U102" s="16"/>
    </row>
    <row r="103" spans="3:26" x14ac:dyDescent="0.3">
      <c r="C103" s="16"/>
      <c r="T103" s="22"/>
      <c r="U103" s="16"/>
    </row>
    <row r="104" spans="3:26" x14ac:dyDescent="0.3">
      <c r="C104" s="16"/>
      <c r="T104" s="22"/>
      <c r="U104" s="16"/>
    </row>
    <row r="105" spans="3:26" x14ac:dyDescent="0.3">
      <c r="C105" s="16"/>
      <c r="T105" s="22"/>
      <c r="U105" s="16"/>
    </row>
    <row r="106" spans="3:26" ht="15" hidden="1" x14ac:dyDescent="0.25">
      <c r="C106" s="16"/>
      <c r="T106" s="22"/>
      <c r="U106" s="16"/>
      <c r="Z106"/>
    </row>
    <row r="107" spans="3:26" ht="15" hidden="1" x14ac:dyDescent="0.25">
      <c r="C107" s="16"/>
      <c r="T107" s="22"/>
      <c r="U107" s="16"/>
      <c r="Z107"/>
    </row>
    <row r="108" spans="3:26" ht="15" hidden="1" x14ac:dyDescent="0.25">
      <c r="C108" s="16"/>
      <c r="T108" s="22"/>
      <c r="U108" s="16"/>
      <c r="Z108"/>
    </row>
    <row r="109" spans="3:26" ht="15" hidden="1" x14ac:dyDescent="0.25">
      <c r="C109" s="16"/>
      <c r="T109" s="22"/>
      <c r="U109" s="16"/>
      <c r="Z109"/>
    </row>
    <row r="110" spans="3:26" ht="15" hidden="1" x14ac:dyDescent="0.25">
      <c r="C110" s="16"/>
      <c r="T110" s="22"/>
      <c r="U110" s="16"/>
      <c r="Z110"/>
    </row>
    <row r="111" spans="3:26" ht="15" hidden="1" x14ac:dyDescent="0.25">
      <c r="C111" s="16"/>
      <c r="T111" s="22"/>
      <c r="U111" s="16"/>
      <c r="Z111"/>
    </row>
    <row r="112" spans="3:26" ht="15" hidden="1" x14ac:dyDescent="0.25">
      <c r="C112" s="16"/>
      <c r="T112" s="22"/>
      <c r="U112" s="16"/>
      <c r="Z112"/>
    </row>
    <row r="113" spans="3:26" ht="15" hidden="1" x14ac:dyDescent="0.25">
      <c r="C113" s="16"/>
      <c r="T113" s="22"/>
      <c r="U113" s="16"/>
      <c r="Z113"/>
    </row>
    <row r="114" spans="3:26" ht="15" hidden="1" x14ac:dyDescent="0.25">
      <c r="C114" s="16"/>
      <c r="T114" s="22"/>
      <c r="U114" s="16"/>
      <c r="Z114"/>
    </row>
    <row r="115" spans="3:26" ht="15" hidden="1" x14ac:dyDescent="0.25">
      <c r="C115" s="16"/>
      <c r="T115" s="22"/>
      <c r="U115" s="16"/>
      <c r="Z115"/>
    </row>
    <row r="116" spans="3:26" ht="15" hidden="1" x14ac:dyDescent="0.25">
      <c r="C116" s="16"/>
      <c r="T116" s="22"/>
      <c r="U116" s="16"/>
      <c r="Z116"/>
    </row>
    <row r="117" spans="3:26" ht="15" hidden="1" x14ac:dyDescent="0.25">
      <c r="C117" s="16"/>
      <c r="T117" s="22"/>
      <c r="U117" s="16"/>
      <c r="Z117"/>
    </row>
    <row r="118" spans="3:26" ht="15" hidden="1" x14ac:dyDescent="0.25">
      <c r="C118" s="16"/>
      <c r="T118" s="22"/>
      <c r="U118" s="16"/>
      <c r="Z118"/>
    </row>
    <row r="119" spans="3:26" ht="15" hidden="1" x14ac:dyDescent="0.25">
      <c r="C119" s="16"/>
      <c r="T119" s="22"/>
      <c r="U119" s="16"/>
      <c r="Z119"/>
    </row>
    <row r="120" spans="3:26" ht="15" hidden="1" x14ac:dyDescent="0.25">
      <c r="C120" s="16"/>
      <c r="T120" s="22"/>
      <c r="U120" s="16"/>
      <c r="Z120"/>
    </row>
    <row r="121" spans="3:26" ht="15" hidden="1" x14ac:dyDescent="0.25">
      <c r="C121" s="16"/>
      <c r="T121" s="22"/>
      <c r="U121" s="16"/>
      <c r="Z121"/>
    </row>
    <row r="122" spans="3:26" ht="15" hidden="1" x14ac:dyDescent="0.25">
      <c r="C122" s="16"/>
      <c r="T122" s="22"/>
      <c r="U122" s="16"/>
      <c r="Z122"/>
    </row>
    <row r="123" spans="3:26" ht="15" hidden="1" x14ac:dyDescent="0.25">
      <c r="C123" s="16"/>
      <c r="T123" s="22"/>
      <c r="U123" s="16"/>
      <c r="Z123"/>
    </row>
    <row r="124" spans="3:26" ht="15" hidden="1" x14ac:dyDescent="0.25">
      <c r="C124" s="16"/>
      <c r="T124" s="22"/>
      <c r="U124" s="16"/>
      <c r="Z124"/>
    </row>
    <row r="125" spans="3:26" ht="15" hidden="1" x14ac:dyDescent="0.25">
      <c r="C125" s="16"/>
      <c r="T125" s="22"/>
      <c r="U125" s="16"/>
      <c r="Z125"/>
    </row>
    <row r="126" spans="3:26" ht="15" hidden="1" x14ac:dyDescent="0.25">
      <c r="C126" s="16"/>
      <c r="T126" s="22"/>
      <c r="U126" s="16"/>
      <c r="Z126"/>
    </row>
    <row r="127" spans="3:26" ht="15" hidden="1" x14ac:dyDescent="0.25">
      <c r="C127" s="16"/>
      <c r="T127" s="22"/>
      <c r="U127" s="16"/>
      <c r="Z127"/>
    </row>
    <row r="128" spans="3:26" ht="15" hidden="1" x14ac:dyDescent="0.25">
      <c r="C128" s="16"/>
      <c r="T128" s="22"/>
      <c r="U128" s="16"/>
      <c r="Z128"/>
    </row>
    <row r="129" spans="3:21" x14ac:dyDescent="0.3">
      <c r="C129" s="16"/>
      <c r="T129" s="22"/>
      <c r="U129" s="16"/>
    </row>
    <row r="130" spans="3:21" x14ac:dyDescent="0.3">
      <c r="C130" s="16"/>
      <c r="T130" s="22"/>
      <c r="U130" s="16"/>
    </row>
    <row r="131" spans="3:21" x14ac:dyDescent="0.3">
      <c r="C131" s="16"/>
      <c r="T131" s="22"/>
      <c r="U131" s="16"/>
    </row>
    <row r="132" spans="3:21" x14ac:dyDescent="0.3">
      <c r="C132" s="16"/>
      <c r="T132" s="22"/>
      <c r="U132" s="16"/>
    </row>
    <row r="133" spans="3:21" x14ac:dyDescent="0.3">
      <c r="C133" s="16"/>
      <c r="T133" s="22"/>
      <c r="U133" s="16"/>
    </row>
    <row r="134" spans="3:21" x14ac:dyDescent="0.3">
      <c r="C134" s="16"/>
      <c r="T134" s="22"/>
      <c r="U134" s="16"/>
    </row>
    <row r="135" spans="3:21" x14ac:dyDescent="0.3">
      <c r="C135" s="16"/>
      <c r="T135" s="22"/>
      <c r="U135" s="16"/>
    </row>
    <row r="136" spans="3:21" x14ac:dyDescent="0.3">
      <c r="C136" s="16"/>
      <c r="T136" s="22"/>
      <c r="U136" s="16"/>
    </row>
    <row r="137" spans="3:21" x14ac:dyDescent="0.3">
      <c r="C137" s="16"/>
      <c r="T137" s="22"/>
      <c r="U137" s="16"/>
    </row>
    <row r="138" spans="3:21" x14ac:dyDescent="0.3">
      <c r="C138" s="16"/>
      <c r="T138" s="22"/>
      <c r="U138" s="16"/>
    </row>
    <row r="139" spans="3:21" x14ac:dyDescent="0.3">
      <c r="C139" s="16"/>
      <c r="T139" s="22"/>
      <c r="U139" s="16"/>
    </row>
    <row r="140" spans="3:21" x14ac:dyDescent="0.3">
      <c r="C140" s="16"/>
      <c r="T140" s="22"/>
      <c r="U140" s="16"/>
    </row>
    <row r="141" spans="3:21" x14ac:dyDescent="0.3">
      <c r="C141" s="16"/>
      <c r="T141" s="22"/>
      <c r="U141" s="16"/>
    </row>
    <row r="142" spans="3:21" x14ac:dyDescent="0.3">
      <c r="C142" s="16"/>
      <c r="T142" s="22"/>
      <c r="U142" s="16"/>
    </row>
    <row r="143" spans="3:21" x14ac:dyDescent="0.3">
      <c r="C143" s="16"/>
      <c r="T143" s="22"/>
      <c r="U143" s="16"/>
    </row>
    <row r="144" spans="3:21" x14ac:dyDescent="0.3">
      <c r="C144" s="16"/>
      <c r="T144" s="22"/>
      <c r="U144" s="16"/>
    </row>
    <row r="145" spans="3:21" x14ac:dyDescent="0.3">
      <c r="C145" s="16"/>
      <c r="T145" s="22"/>
      <c r="U145" s="16"/>
    </row>
    <row r="146" spans="3:21" x14ac:dyDescent="0.3">
      <c r="C146" s="16"/>
      <c r="T146" s="22"/>
      <c r="U146" s="16"/>
    </row>
    <row r="147" spans="3:21" x14ac:dyDescent="0.3">
      <c r="C147" s="16"/>
      <c r="T147" s="22"/>
      <c r="U147" s="16"/>
    </row>
    <row r="148" spans="3:21" x14ac:dyDescent="0.3">
      <c r="C148" s="16"/>
      <c r="T148" s="22"/>
      <c r="U148" s="16"/>
    </row>
    <row r="149" spans="3:21" x14ac:dyDescent="0.3">
      <c r="C149" s="16"/>
      <c r="T149" s="22"/>
      <c r="U149" s="16"/>
    </row>
    <row r="150" spans="3:21" x14ac:dyDescent="0.3">
      <c r="C150" s="16"/>
      <c r="T150" s="22"/>
      <c r="U150" s="16"/>
    </row>
    <row r="151" spans="3:21" x14ac:dyDescent="0.3">
      <c r="C151" s="16"/>
      <c r="T151" s="22"/>
      <c r="U151" s="16"/>
    </row>
    <row r="152" spans="3:21" x14ac:dyDescent="0.3">
      <c r="C152" s="16"/>
      <c r="T152" s="22"/>
      <c r="U152" s="16"/>
    </row>
    <row r="153" spans="3:21" x14ac:dyDescent="0.3">
      <c r="C153" s="16"/>
      <c r="T153" s="22"/>
      <c r="U153" s="16"/>
    </row>
    <row r="154" spans="3:21" x14ac:dyDescent="0.3">
      <c r="C154" s="16"/>
      <c r="T154" s="22"/>
      <c r="U154" s="16"/>
    </row>
    <row r="155" spans="3:21" x14ac:dyDescent="0.3">
      <c r="C155" s="16"/>
      <c r="T155" s="22"/>
      <c r="U155" s="16"/>
    </row>
    <row r="156" spans="3:21" x14ac:dyDescent="0.3">
      <c r="C156" s="16"/>
      <c r="T156" s="22"/>
      <c r="U156" s="16"/>
    </row>
    <row r="157" spans="3:21" x14ac:dyDescent="0.3">
      <c r="C157" s="16"/>
      <c r="T157" s="22"/>
      <c r="U157" s="16"/>
    </row>
    <row r="158" spans="3:21" x14ac:dyDescent="0.3">
      <c r="C158" s="16"/>
      <c r="T158" s="22"/>
      <c r="U158" s="16"/>
    </row>
    <row r="159" spans="3:21" x14ac:dyDescent="0.3">
      <c r="C159" s="16"/>
      <c r="T159" s="22"/>
      <c r="U159" s="16"/>
    </row>
    <row r="160" spans="3:21" x14ac:dyDescent="0.3">
      <c r="C160" s="16"/>
      <c r="T160" s="22"/>
      <c r="U160" s="16"/>
    </row>
    <row r="161" spans="3:21" x14ac:dyDescent="0.3">
      <c r="C161" s="16"/>
      <c r="T161" s="22"/>
      <c r="U161" s="16"/>
    </row>
    <row r="162" spans="3:21" x14ac:dyDescent="0.3">
      <c r="C162" s="16"/>
      <c r="T162" s="22"/>
      <c r="U162" s="16"/>
    </row>
    <row r="163" spans="3:21" x14ac:dyDescent="0.3">
      <c r="C163" s="16"/>
      <c r="T163" s="22"/>
      <c r="U163" s="16"/>
    </row>
    <row r="164" spans="3:21" x14ac:dyDescent="0.3">
      <c r="C164" s="16"/>
      <c r="T164" s="22"/>
      <c r="U164" s="16"/>
    </row>
    <row r="165" spans="3:21" x14ac:dyDescent="0.3">
      <c r="C165" s="16"/>
      <c r="T165" s="22"/>
      <c r="U165" s="16"/>
    </row>
    <row r="166" spans="3:21" x14ac:dyDescent="0.3">
      <c r="C166" s="16"/>
      <c r="T166" s="22"/>
      <c r="U166" s="16"/>
    </row>
    <row r="167" spans="3:21" x14ac:dyDescent="0.3">
      <c r="C167" s="16"/>
      <c r="T167" s="22"/>
      <c r="U167" s="16"/>
    </row>
    <row r="168" spans="3:21" x14ac:dyDescent="0.3">
      <c r="C168" s="16"/>
      <c r="T168" s="22"/>
      <c r="U168" s="16"/>
    </row>
    <row r="169" spans="3:21" x14ac:dyDescent="0.3">
      <c r="C169" s="16"/>
      <c r="T169" s="22"/>
      <c r="U169" s="16"/>
    </row>
    <row r="170" spans="3:21" x14ac:dyDescent="0.3">
      <c r="C170" s="16"/>
      <c r="T170" s="22"/>
      <c r="U170" s="16"/>
    </row>
    <row r="171" spans="3:21" x14ac:dyDescent="0.3">
      <c r="C171" s="16"/>
      <c r="T171" s="22"/>
      <c r="U171" s="16"/>
    </row>
    <row r="172" spans="3:21" x14ac:dyDescent="0.3">
      <c r="C172" s="16"/>
      <c r="T172" s="22"/>
      <c r="U172" s="16"/>
    </row>
    <row r="173" spans="3:21" x14ac:dyDescent="0.3">
      <c r="C173" s="16"/>
      <c r="T173" s="22"/>
      <c r="U173" s="16"/>
    </row>
    <row r="174" spans="3:21" x14ac:dyDescent="0.3">
      <c r="C174" s="16"/>
      <c r="T174" s="22"/>
      <c r="U174" s="16"/>
    </row>
    <row r="175" spans="3:21" x14ac:dyDescent="0.3">
      <c r="C175" s="16"/>
      <c r="T175" s="22"/>
      <c r="U175" s="16"/>
    </row>
    <row r="176" spans="3:21" x14ac:dyDescent="0.3">
      <c r="C176" s="16"/>
      <c r="T176" s="22"/>
      <c r="U176" s="16"/>
    </row>
    <row r="177" spans="3:21" x14ac:dyDescent="0.3">
      <c r="C177" s="16"/>
      <c r="T177" s="22"/>
      <c r="U177" s="16"/>
    </row>
    <row r="178" spans="3:21" x14ac:dyDescent="0.3">
      <c r="C178" s="16"/>
      <c r="T178" s="22"/>
      <c r="U178" s="16"/>
    </row>
    <row r="179" spans="3:21" x14ac:dyDescent="0.3">
      <c r="C179" s="16"/>
      <c r="T179" s="22"/>
      <c r="U179" s="16"/>
    </row>
    <row r="180" spans="3:21" x14ac:dyDescent="0.3">
      <c r="C180" s="16"/>
      <c r="T180" s="22"/>
      <c r="U180" s="16"/>
    </row>
    <row r="181" spans="3:21" x14ac:dyDescent="0.3">
      <c r="C181" s="16"/>
      <c r="T181" s="22"/>
      <c r="U181" s="16"/>
    </row>
    <row r="182" spans="3:21" x14ac:dyDescent="0.3">
      <c r="C182" s="16"/>
      <c r="T182" s="22"/>
      <c r="U182" s="16"/>
    </row>
    <row r="183" spans="3:21" x14ac:dyDescent="0.3">
      <c r="C183" s="16"/>
      <c r="T183" s="22"/>
      <c r="U183" s="16"/>
    </row>
    <row r="184" spans="3:21" x14ac:dyDescent="0.3">
      <c r="C184" s="16"/>
      <c r="T184" s="22"/>
      <c r="U184" s="16"/>
    </row>
    <row r="185" spans="3:21" x14ac:dyDescent="0.3">
      <c r="C185" s="16"/>
      <c r="T185" s="22"/>
      <c r="U185" s="16"/>
    </row>
    <row r="186" spans="3:21" x14ac:dyDescent="0.3">
      <c r="C186" s="16"/>
      <c r="T186" s="22"/>
      <c r="U186" s="16"/>
    </row>
    <row r="187" spans="3:21" x14ac:dyDescent="0.3">
      <c r="C187" s="16"/>
      <c r="T187" s="22"/>
      <c r="U187" s="16"/>
    </row>
    <row r="188" spans="3:21" x14ac:dyDescent="0.3">
      <c r="C188" s="16"/>
      <c r="T188" s="22"/>
      <c r="U188" s="16"/>
    </row>
    <row r="189" spans="3:21" x14ac:dyDescent="0.3">
      <c r="C189" s="16"/>
      <c r="T189" s="22"/>
      <c r="U189" s="16"/>
    </row>
    <row r="190" spans="3:21" x14ac:dyDescent="0.3">
      <c r="C190" s="16"/>
      <c r="T190" s="22"/>
      <c r="U190" s="16"/>
    </row>
    <row r="191" spans="3:21" x14ac:dyDescent="0.3">
      <c r="C191" s="16"/>
      <c r="T191" s="22"/>
      <c r="U191" s="16"/>
    </row>
    <row r="192" spans="3:21" x14ac:dyDescent="0.3">
      <c r="C192" s="16"/>
      <c r="T192" s="22"/>
      <c r="U192" s="16"/>
    </row>
    <row r="193" spans="3:21" x14ac:dyDescent="0.3">
      <c r="C193" s="16"/>
      <c r="T193" s="22"/>
      <c r="U193" s="16"/>
    </row>
    <row r="194" spans="3:21" x14ac:dyDescent="0.3">
      <c r="C194" s="16"/>
      <c r="T194" s="22"/>
      <c r="U194" s="16"/>
    </row>
    <row r="195" spans="3:21" x14ac:dyDescent="0.3">
      <c r="C195" s="16"/>
      <c r="T195" s="22"/>
      <c r="U195" s="16"/>
    </row>
    <row r="196" spans="3:21" x14ac:dyDescent="0.3">
      <c r="C196" s="16"/>
      <c r="T196" s="22"/>
      <c r="U196" s="16"/>
    </row>
    <row r="197" spans="3:21" x14ac:dyDescent="0.3">
      <c r="C197" s="16"/>
      <c r="T197" s="22"/>
      <c r="U197" s="16"/>
    </row>
    <row r="198" spans="3:21" x14ac:dyDescent="0.3">
      <c r="C198" s="16"/>
      <c r="T198" s="22"/>
      <c r="U198" s="16"/>
    </row>
    <row r="199" spans="3:21" x14ac:dyDescent="0.3">
      <c r="C199" s="16"/>
      <c r="T199" s="22"/>
      <c r="U199" s="16"/>
    </row>
    <row r="200" spans="3:21" x14ac:dyDescent="0.3">
      <c r="C200" s="16"/>
      <c r="T200" s="22"/>
      <c r="U200" s="16"/>
    </row>
    <row r="201" spans="3:21" x14ac:dyDescent="0.3">
      <c r="C201" s="16"/>
      <c r="T201" s="22"/>
      <c r="U201" s="16"/>
    </row>
    <row r="202" spans="3:21" x14ac:dyDescent="0.3">
      <c r="C202" s="16"/>
      <c r="T202" s="22"/>
      <c r="U202" s="16"/>
    </row>
    <row r="203" spans="3:21" x14ac:dyDescent="0.3">
      <c r="C203" s="16"/>
      <c r="T203" s="22"/>
      <c r="U203" s="16"/>
    </row>
    <row r="204" spans="3:21" x14ac:dyDescent="0.3">
      <c r="C204" s="16"/>
      <c r="T204" s="22"/>
      <c r="U204" s="16"/>
    </row>
    <row r="205" spans="3:21" x14ac:dyDescent="0.3">
      <c r="C205" s="16"/>
      <c r="T205" s="22"/>
      <c r="U205" s="16"/>
    </row>
    <row r="206" spans="3:21" x14ac:dyDescent="0.3">
      <c r="C206" s="16"/>
      <c r="T206" s="22"/>
      <c r="U206" s="16"/>
    </row>
    <row r="207" spans="3:21" x14ac:dyDescent="0.3">
      <c r="C207" s="16"/>
      <c r="T207" s="22"/>
      <c r="U207" s="16"/>
    </row>
    <row r="208" spans="3:21" x14ac:dyDescent="0.3">
      <c r="C208" s="16"/>
      <c r="T208" s="22"/>
      <c r="U208" s="16"/>
    </row>
    <row r="209" spans="3:21" x14ac:dyDescent="0.3">
      <c r="C209" s="16"/>
      <c r="T209" s="22"/>
      <c r="U209" s="16"/>
    </row>
    <row r="210" spans="3:21" x14ac:dyDescent="0.3">
      <c r="C210" s="16"/>
      <c r="T210" s="22"/>
      <c r="U210" s="16"/>
    </row>
    <row r="211" spans="3:21" x14ac:dyDescent="0.3">
      <c r="C211" s="16"/>
      <c r="T211" s="22"/>
      <c r="U211" s="16"/>
    </row>
    <row r="212" spans="3:21" x14ac:dyDescent="0.3">
      <c r="C212" s="16"/>
      <c r="T212" s="22"/>
      <c r="U212" s="16"/>
    </row>
    <row r="213" spans="3:21" x14ac:dyDescent="0.3">
      <c r="C213" s="16"/>
      <c r="T213" s="22"/>
      <c r="U213" s="16"/>
    </row>
    <row r="214" spans="3:21" x14ac:dyDescent="0.3">
      <c r="C214" s="16"/>
      <c r="T214" s="22"/>
      <c r="U214" s="16"/>
    </row>
    <row r="215" spans="3:21" x14ac:dyDescent="0.3">
      <c r="C215" s="16"/>
      <c r="T215" s="22"/>
      <c r="U215" s="16"/>
    </row>
    <row r="216" spans="3:21" x14ac:dyDescent="0.3">
      <c r="C216" s="16"/>
      <c r="T216" s="22"/>
      <c r="U216" s="16"/>
    </row>
    <row r="217" spans="3:21" x14ac:dyDescent="0.3">
      <c r="C217" s="16"/>
      <c r="T217" s="22"/>
      <c r="U217" s="16"/>
    </row>
    <row r="218" spans="3:21" x14ac:dyDescent="0.3">
      <c r="C218" s="16"/>
      <c r="T218" s="22"/>
      <c r="U218" s="16"/>
    </row>
    <row r="219" spans="3:21" x14ac:dyDescent="0.3">
      <c r="C219" s="16"/>
      <c r="T219" s="22"/>
      <c r="U219" s="16"/>
    </row>
    <row r="220" spans="3:21" x14ac:dyDescent="0.3">
      <c r="C220" s="16"/>
      <c r="T220" s="22"/>
      <c r="U220" s="16"/>
    </row>
    <row r="221" spans="3:21" x14ac:dyDescent="0.3">
      <c r="C221" s="16"/>
      <c r="T221" s="22"/>
      <c r="U221" s="16"/>
    </row>
    <row r="222" spans="3:21" x14ac:dyDescent="0.3">
      <c r="C222" s="16"/>
      <c r="T222" s="22"/>
      <c r="U222" s="16"/>
    </row>
    <row r="223" spans="3:21" x14ac:dyDescent="0.3">
      <c r="C223" s="16"/>
      <c r="T223" s="22"/>
      <c r="U223" s="16"/>
    </row>
    <row r="224" spans="3:21" x14ac:dyDescent="0.3">
      <c r="C224" s="16"/>
      <c r="T224" s="22"/>
      <c r="U224" s="16"/>
    </row>
    <row r="225" spans="3:26" x14ac:dyDescent="0.3">
      <c r="C225" s="16"/>
      <c r="T225" s="22"/>
      <c r="U225" s="16"/>
    </row>
    <row r="226" spans="3:26" ht="15" hidden="1" x14ac:dyDescent="0.25">
      <c r="C226" s="16"/>
      <c r="T226" s="22"/>
      <c r="U226" s="16"/>
      <c r="Z226"/>
    </row>
    <row r="227" spans="3:26" ht="15" hidden="1" x14ac:dyDescent="0.25">
      <c r="C227" s="16"/>
      <c r="T227" s="22"/>
      <c r="U227" s="16"/>
      <c r="Z227"/>
    </row>
    <row r="228" spans="3:26" ht="15" hidden="1" x14ac:dyDescent="0.25">
      <c r="C228" s="16"/>
      <c r="T228" s="22"/>
      <c r="U228" s="16"/>
      <c r="Z228"/>
    </row>
    <row r="229" spans="3:26" ht="15" hidden="1" x14ac:dyDescent="0.25">
      <c r="C229" s="16"/>
      <c r="T229" s="22"/>
      <c r="U229" s="16"/>
      <c r="Z229"/>
    </row>
    <row r="230" spans="3:26" ht="15" hidden="1" x14ac:dyDescent="0.25">
      <c r="C230" s="16"/>
      <c r="T230" s="22"/>
      <c r="U230" s="16"/>
      <c r="Z230"/>
    </row>
    <row r="231" spans="3:26" ht="15" hidden="1" x14ac:dyDescent="0.25">
      <c r="C231" s="16"/>
      <c r="T231" s="22"/>
      <c r="U231" s="16"/>
      <c r="Z231"/>
    </row>
    <row r="232" spans="3:26" ht="15" hidden="1" x14ac:dyDescent="0.25">
      <c r="C232" s="16"/>
      <c r="T232" s="22"/>
      <c r="U232" s="16"/>
      <c r="Z232"/>
    </row>
    <row r="233" spans="3:26" ht="15" hidden="1" x14ac:dyDescent="0.25">
      <c r="C233" s="16"/>
      <c r="T233" s="22"/>
      <c r="U233" s="16"/>
      <c r="Z233"/>
    </row>
    <row r="234" spans="3:26" ht="15" hidden="1" x14ac:dyDescent="0.25">
      <c r="C234" s="16"/>
      <c r="T234" s="22"/>
      <c r="U234" s="16"/>
      <c r="Z234"/>
    </row>
    <row r="235" spans="3:26" ht="15" hidden="1" x14ac:dyDescent="0.25">
      <c r="C235" s="16"/>
      <c r="T235" s="22"/>
      <c r="U235" s="16"/>
      <c r="Z235"/>
    </row>
    <row r="236" spans="3:26" ht="15" hidden="1" x14ac:dyDescent="0.25">
      <c r="C236" s="16"/>
      <c r="T236" s="22"/>
      <c r="U236" s="16"/>
      <c r="Z236"/>
    </row>
    <row r="237" spans="3:26" ht="15" hidden="1" x14ac:dyDescent="0.25">
      <c r="C237" s="16"/>
      <c r="T237" s="22"/>
      <c r="U237" s="16"/>
      <c r="Z237"/>
    </row>
    <row r="238" spans="3:26" ht="15" hidden="1" x14ac:dyDescent="0.25">
      <c r="C238" s="16"/>
      <c r="T238" s="22"/>
      <c r="U238" s="16"/>
      <c r="Z238"/>
    </row>
    <row r="239" spans="3:26" ht="15" hidden="1" x14ac:dyDescent="0.25">
      <c r="C239" s="16"/>
      <c r="T239" s="22"/>
      <c r="U239" s="16"/>
      <c r="Z239"/>
    </row>
    <row r="240" spans="3:26" ht="15" hidden="1" x14ac:dyDescent="0.25">
      <c r="C240" s="16"/>
      <c r="T240" s="22"/>
      <c r="U240" s="16"/>
      <c r="Z240"/>
    </row>
    <row r="241" spans="3:26" ht="15" hidden="1" x14ac:dyDescent="0.25">
      <c r="C241" s="16"/>
      <c r="T241" s="22"/>
      <c r="U241" s="16"/>
      <c r="Z241"/>
    </row>
    <row r="242" spans="3:26" ht="15" hidden="1" x14ac:dyDescent="0.25">
      <c r="C242" s="16"/>
      <c r="T242" s="22"/>
      <c r="U242" s="16"/>
      <c r="Z242"/>
    </row>
    <row r="243" spans="3:26" ht="15" hidden="1" x14ac:dyDescent="0.25">
      <c r="C243" s="16"/>
      <c r="T243" s="22"/>
      <c r="U243" s="16"/>
      <c r="Z243"/>
    </row>
    <row r="244" spans="3:26" ht="15" hidden="1" x14ac:dyDescent="0.25">
      <c r="C244" s="16"/>
      <c r="T244" s="22"/>
      <c r="U244" s="16"/>
      <c r="Z244"/>
    </row>
    <row r="245" spans="3:26" ht="15" hidden="1" x14ac:dyDescent="0.25">
      <c r="C245" s="16"/>
      <c r="T245" s="22"/>
      <c r="U245" s="16"/>
      <c r="Z245"/>
    </row>
    <row r="246" spans="3:26" ht="15" hidden="1" x14ac:dyDescent="0.25">
      <c r="C246" s="16"/>
      <c r="T246" s="22"/>
      <c r="U246" s="16"/>
      <c r="Z246"/>
    </row>
    <row r="247" spans="3:26" x14ac:dyDescent="0.3">
      <c r="C247" s="16"/>
      <c r="T247" s="22"/>
      <c r="U247" s="16"/>
    </row>
    <row r="248" spans="3:26" x14ac:dyDescent="0.3">
      <c r="C248" s="16"/>
      <c r="T248" s="22"/>
      <c r="U248" s="16"/>
    </row>
    <row r="249" spans="3:26" x14ac:dyDescent="0.3">
      <c r="C249" s="16"/>
      <c r="T249" s="22"/>
      <c r="U249" s="16"/>
    </row>
    <row r="250" spans="3:26" x14ac:dyDescent="0.3">
      <c r="C250" s="16"/>
      <c r="T250" s="22"/>
      <c r="U250" s="16"/>
    </row>
    <row r="251" spans="3:26" x14ac:dyDescent="0.3">
      <c r="C251" s="16"/>
      <c r="T251" s="22"/>
      <c r="U251" s="16"/>
    </row>
    <row r="252" spans="3:26" x14ac:dyDescent="0.3">
      <c r="C252" s="16"/>
      <c r="T252" s="22"/>
      <c r="U252" s="16"/>
    </row>
    <row r="253" spans="3:26" x14ac:dyDescent="0.3">
      <c r="C253" s="16"/>
      <c r="T253" s="22"/>
      <c r="U253" s="16"/>
    </row>
    <row r="254" spans="3:26" x14ac:dyDescent="0.3">
      <c r="C254" s="16"/>
      <c r="T254" s="22"/>
      <c r="U254" s="16"/>
    </row>
    <row r="255" spans="3:26" x14ac:dyDescent="0.3">
      <c r="C255" s="16"/>
      <c r="T255" s="22"/>
      <c r="U255" s="16"/>
    </row>
    <row r="256" spans="3:26" x14ac:dyDescent="0.3">
      <c r="C256" s="16"/>
      <c r="T256" s="22"/>
      <c r="U256" s="16"/>
    </row>
    <row r="257" spans="3:21" x14ac:dyDescent="0.3">
      <c r="C257" s="16"/>
      <c r="T257" s="22"/>
      <c r="U257" s="16"/>
    </row>
    <row r="258" spans="3:21" x14ac:dyDescent="0.3">
      <c r="C258" s="16"/>
      <c r="T258" s="22"/>
      <c r="U258" s="16"/>
    </row>
    <row r="259" spans="3:21" x14ac:dyDescent="0.3">
      <c r="C259" s="16"/>
      <c r="T259" s="22"/>
      <c r="U259" s="16"/>
    </row>
    <row r="260" spans="3:21" x14ac:dyDescent="0.3">
      <c r="C260" s="16"/>
      <c r="T260" s="22"/>
      <c r="U260" s="16"/>
    </row>
    <row r="261" spans="3:21" x14ac:dyDescent="0.3">
      <c r="C261" s="16"/>
      <c r="T261" s="22"/>
      <c r="U261" s="16"/>
    </row>
    <row r="262" spans="3:21" x14ac:dyDescent="0.3">
      <c r="C262" s="16"/>
      <c r="T262" s="22"/>
      <c r="U262" s="16"/>
    </row>
    <row r="263" spans="3:21" x14ac:dyDescent="0.3">
      <c r="C263" s="16"/>
      <c r="T263" s="22"/>
      <c r="U263" s="16"/>
    </row>
    <row r="264" spans="3:21" x14ac:dyDescent="0.3">
      <c r="C264" s="16"/>
      <c r="T264" s="22"/>
      <c r="U264" s="16"/>
    </row>
    <row r="265" spans="3:21" x14ac:dyDescent="0.3">
      <c r="C265" s="16"/>
      <c r="T265" s="22"/>
      <c r="U265" s="16"/>
    </row>
    <row r="266" spans="3:21" x14ac:dyDescent="0.3">
      <c r="C266" s="16"/>
      <c r="T266" s="22"/>
      <c r="U266" s="16"/>
    </row>
    <row r="267" spans="3:21" x14ac:dyDescent="0.3">
      <c r="C267" s="16"/>
      <c r="T267" s="22"/>
      <c r="U267" s="16"/>
    </row>
    <row r="268" spans="3:21" x14ac:dyDescent="0.3">
      <c r="C268" s="16"/>
      <c r="T268" s="22"/>
      <c r="U268" s="16"/>
    </row>
    <row r="269" spans="3:21" x14ac:dyDescent="0.3">
      <c r="C269" s="16"/>
      <c r="T269" s="22"/>
      <c r="U269" s="16"/>
    </row>
    <row r="270" spans="3:21" x14ac:dyDescent="0.3">
      <c r="C270" s="16"/>
      <c r="T270" s="22"/>
      <c r="U270" s="16"/>
    </row>
    <row r="271" spans="3:21" x14ac:dyDescent="0.3">
      <c r="C271" s="16"/>
      <c r="T271" s="22"/>
      <c r="U271" s="16"/>
    </row>
    <row r="272" spans="3:21" x14ac:dyDescent="0.3">
      <c r="C272" s="16"/>
      <c r="T272" s="22"/>
      <c r="U272" s="16"/>
    </row>
    <row r="273" spans="3:21" x14ac:dyDescent="0.3">
      <c r="C273" s="16"/>
      <c r="T273" s="22"/>
      <c r="U273" s="16"/>
    </row>
    <row r="274" spans="3:21" x14ac:dyDescent="0.3">
      <c r="C274" s="16"/>
      <c r="T274" s="22"/>
      <c r="U274" s="16"/>
    </row>
    <row r="275" spans="3:21" x14ac:dyDescent="0.3">
      <c r="C275" s="16"/>
      <c r="T275" s="22"/>
      <c r="U275" s="16"/>
    </row>
    <row r="276" spans="3:21" x14ac:dyDescent="0.3">
      <c r="C276" s="16"/>
      <c r="T276" s="22"/>
      <c r="U276" s="16"/>
    </row>
    <row r="277" spans="3:21" x14ac:dyDescent="0.3">
      <c r="C277" s="16"/>
      <c r="T277" s="22"/>
      <c r="U277" s="16"/>
    </row>
    <row r="278" spans="3:21" x14ac:dyDescent="0.3">
      <c r="C278" s="16"/>
      <c r="T278" s="22"/>
      <c r="U278" s="16"/>
    </row>
    <row r="279" spans="3:21" x14ac:dyDescent="0.3">
      <c r="C279" s="16"/>
      <c r="T279" s="22"/>
      <c r="U279" s="16"/>
    </row>
    <row r="280" spans="3:21" x14ac:dyDescent="0.3">
      <c r="C280" s="16"/>
      <c r="T280" s="22"/>
      <c r="U280" s="16"/>
    </row>
    <row r="281" spans="3:21" x14ac:dyDescent="0.3">
      <c r="C281" s="16"/>
      <c r="T281" s="22"/>
      <c r="U281" s="16"/>
    </row>
    <row r="282" spans="3:21" x14ac:dyDescent="0.3">
      <c r="C282" s="16"/>
      <c r="T282" s="22"/>
      <c r="U282" s="16"/>
    </row>
    <row r="283" spans="3:21" x14ac:dyDescent="0.3">
      <c r="C283" s="16"/>
      <c r="T283" s="22"/>
      <c r="U283" s="16"/>
    </row>
    <row r="284" spans="3:21" x14ac:dyDescent="0.3">
      <c r="C284" s="16"/>
      <c r="T284" s="22"/>
      <c r="U284" s="16"/>
    </row>
    <row r="285" spans="3:21" x14ac:dyDescent="0.3">
      <c r="C285" s="16"/>
      <c r="T285" s="22"/>
      <c r="U285" s="16"/>
    </row>
    <row r="286" spans="3:21" x14ac:dyDescent="0.3">
      <c r="C286" s="16"/>
      <c r="T286" s="22"/>
      <c r="U286" s="16"/>
    </row>
    <row r="287" spans="3:21" x14ac:dyDescent="0.3">
      <c r="C287" s="16"/>
      <c r="T287" s="22"/>
      <c r="U287" s="16"/>
    </row>
    <row r="288" spans="3:21" x14ac:dyDescent="0.3">
      <c r="C288" s="16"/>
      <c r="T288" s="22"/>
      <c r="U288" s="16"/>
    </row>
    <row r="289" spans="3:21" x14ac:dyDescent="0.3">
      <c r="C289" s="16"/>
      <c r="T289" s="22"/>
      <c r="U289" s="16"/>
    </row>
    <row r="290" spans="3:21" x14ac:dyDescent="0.3">
      <c r="C290" s="16"/>
      <c r="T290" s="22"/>
      <c r="U290" s="16"/>
    </row>
    <row r="291" spans="3:21" x14ac:dyDescent="0.3">
      <c r="C291" s="16"/>
      <c r="T291" s="22"/>
      <c r="U291" s="16"/>
    </row>
    <row r="292" spans="3:21" x14ac:dyDescent="0.3">
      <c r="C292" s="16"/>
      <c r="T292" s="22"/>
      <c r="U292" s="16"/>
    </row>
    <row r="293" spans="3:21" x14ac:dyDescent="0.3">
      <c r="C293" s="16"/>
      <c r="T293" s="22"/>
      <c r="U293" s="16"/>
    </row>
    <row r="294" spans="3:21" x14ac:dyDescent="0.3">
      <c r="C294" s="16"/>
      <c r="T294" s="22"/>
      <c r="U294" s="16"/>
    </row>
    <row r="295" spans="3:21" x14ac:dyDescent="0.3">
      <c r="C295" s="16"/>
      <c r="T295" s="22"/>
      <c r="U295" s="16"/>
    </row>
    <row r="296" spans="3:21" x14ac:dyDescent="0.3">
      <c r="C296" s="16"/>
      <c r="T296" s="22"/>
      <c r="U296" s="16"/>
    </row>
    <row r="297" spans="3:21" x14ac:dyDescent="0.3">
      <c r="C297" s="16"/>
      <c r="T297" s="22"/>
      <c r="U297" s="16"/>
    </row>
    <row r="298" spans="3:21" x14ac:dyDescent="0.3">
      <c r="C298" s="16"/>
      <c r="T298" s="22"/>
      <c r="U298" s="16"/>
    </row>
    <row r="299" spans="3:21" x14ac:dyDescent="0.3">
      <c r="C299" s="16"/>
      <c r="T299" s="22"/>
      <c r="U299" s="16"/>
    </row>
    <row r="300" spans="3:21" x14ac:dyDescent="0.3">
      <c r="C300" s="16"/>
      <c r="T300" s="22"/>
      <c r="U300" s="16"/>
    </row>
    <row r="301" spans="3:21" x14ac:dyDescent="0.3">
      <c r="C301" s="16"/>
      <c r="T301" s="22"/>
      <c r="U301" s="16"/>
    </row>
    <row r="302" spans="3:21" x14ac:dyDescent="0.3">
      <c r="C302" s="16"/>
      <c r="T302" s="22"/>
      <c r="U302" s="16"/>
    </row>
    <row r="303" spans="3:21" x14ac:dyDescent="0.3">
      <c r="C303" s="16"/>
      <c r="T303" s="22"/>
      <c r="U303" s="16"/>
    </row>
    <row r="304" spans="3:21" x14ac:dyDescent="0.3">
      <c r="C304" s="16"/>
      <c r="T304" s="22"/>
      <c r="U304" s="16"/>
    </row>
    <row r="305" spans="3:21" x14ac:dyDescent="0.3">
      <c r="C305" s="16"/>
      <c r="T305" s="22"/>
      <c r="U305" s="16"/>
    </row>
    <row r="306" spans="3:21" x14ac:dyDescent="0.3">
      <c r="C306" s="16"/>
      <c r="T306" s="22"/>
      <c r="U306" s="16"/>
    </row>
    <row r="307" spans="3:21" x14ac:dyDescent="0.3">
      <c r="C307" s="16"/>
      <c r="T307" s="22"/>
      <c r="U307" s="16"/>
    </row>
    <row r="308" spans="3:21" x14ac:dyDescent="0.3">
      <c r="C308" s="16"/>
      <c r="T308" s="22"/>
      <c r="U308" s="16"/>
    </row>
    <row r="309" spans="3:21" x14ac:dyDescent="0.3">
      <c r="C309" s="16"/>
      <c r="T309" s="22"/>
      <c r="U309" s="16"/>
    </row>
    <row r="310" spans="3:21" x14ac:dyDescent="0.3">
      <c r="C310" s="16"/>
      <c r="T310" s="22"/>
      <c r="U310" s="16"/>
    </row>
    <row r="311" spans="3:21" x14ac:dyDescent="0.3">
      <c r="C311" s="16"/>
      <c r="T311" s="22"/>
      <c r="U311" s="16"/>
    </row>
    <row r="312" spans="3:21" x14ac:dyDescent="0.3">
      <c r="C312" s="16"/>
      <c r="T312" s="22"/>
      <c r="U312" s="16"/>
    </row>
    <row r="313" spans="3:21" x14ac:dyDescent="0.3">
      <c r="C313" s="16"/>
      <c r="T313" s="22"/>
      <c r="U313" s="16"/>
    </row>
    <row r="314" spans="3:21" x14ac:dyDescent="0.3">
      <c r="C314" s="16"/>
      <c r="T314" s="22"/>
      <c r="U314" s="16"/>
    </row>
    <row r="315" spans="3:21" x14ac:dyDescent="0.3">
      <c r="C315" s="16"/>
      <c r="T315" s="22"/>
      <c r="U315" s="16"/>
    </row>
    <row r="316" spans="3:21" x14ac:dyDescent="0.3">
      <c r="C316" s="16"/>
      <c r="T316" s="22"/>
      <c r="U316" s="16"/>
    </row>
    <row r="317" spans="3:21" x14ac:dyDescent="0.3">
      <c r="C317" s="16"/>
      <c r="T317" s="22"/>
      <c r="U317" s="16"/>
    </row>
    <row r="318" spans="3:21" x14ac:dyDescent="0.3">
      <c r="C318" s="16"/>
      <c r="T318" s="22"/>
      <c r="U318" s="16"/>
    </row>
    <row r="319" spans="3:21" x14ac:dyDescent="0.3">
      <c r="C319" s="16"/>
      <c r="T319" s="22"/>
      <c r="U319" s="16"/>
    </row>
    <row r="320" spans="3:21" x14ac:dyDescent="0.3">
      <c r="C320" s="16"/>
      <c r="T320" s="22"/>
      <c r="U320" s="16"/>
    </row>
    <row r="321" spans="3:21" x14ac:dyDescent="0.3">
      <c r="C321" s="16"/>
      <c r="T321" s="22"/>
      <c r="U321" s="16"/>
    </row>
    <row r="322" spans="3:21" x14ac:dyDescent="0.3">
      <c r="C322" s="16"/>
      <c r="T322" s="22"/>
      <c r="U322" s="16"/>
    </row>
    <row r="323" spans="3:21" x14ac:dyDescent="0.3">
      <c r="C323" s="16"/>
      <c r="T323" s="22"/>
      <c r="U323" s="16"/>
    </row>
    <row r="324" spans="3:21" x14ac:dyDescent="0.3">
      <c r="C324" s="16"/>
      <c r="T324" s="22"/>
      <c r="U324" s="16"/>
    </row>
    <row r="325" spans="3:21" x14ac:dyDescent="0.3">
      <c r="C325" s="16"/>
      <c r="T325" s="22"/>
      <c r="U325" s="16"/>
    </row>
    <row r="326" spans="3:21" x14ac:dyDescent="0.3">
      <c r="C326" s="16"/>
      <c r="T326" s="22"/>
      <c r="U326" s="16"/>
    </row>
    <row r="327" spans="3:21" x14ac:dyDescent="0.3">
      <c r="C327" s="16"/>
      <c r="T327" s="22"/>
      <c r="U327" s="16"/>
    </row>
    <row r="328" spans="3:21" x14ac:dyDescent="0.3">
      <c r="C328" s="16"/>
      <c r="T328" s="22"/>
      <c r="U328" s="16"/>
    </row>
    <row r="329" spans="3:21" x14ac:dyDescent="0.3">
      <c r="C329" s="16"/>
      <c r="T329" s="22"/>
      <c r="U329" s="16"/>
    </row>
    <row r="330" spans="3:21" x14ac:dyDescent="0.3">
      <c r="C330" s="16"/>
      <c r="T330" s="22"/>
      <c r="U330" s="16"/>
    </row>
    <row r="331" spans="3:21" x14ac:dyDescent="0.3">
      <c r="C331" s="16"/>
      <c r="T331" s="22"/>
      <c r="U331" s="16"/>
    </row>
    <row r="332" spans="3:21" x14ac:dyDescent="0.3">
      <c r="C332" s="16"/>
      <c r="T332" s="22"/>
      <c r="U332" s="16"/>
    </row>
    <row r="333" spans="3:21" x14ac:dyDescent="0.3">
      <c r="C333" s="16"/>
      <c r="T333" s="22"/>
      <c r="U333" s="16"/>
    </row>
    <row r="334" spans="3:21" x14ac:dyDescent="0.3">
      <c r="C334" s="16"/>
      <c r="T334" s="22"/>
      <c r="U334" s="16"/>
    </row>
    <row r="335" spans="3:21" x14ac:dyDescent="0.3">
      <c r="C335" s="16"/>
      <c r="T335" s="22"/>
      <c r="U335" s="16"/>
    </row>
    <row r="336" spans="3:21" x14ac:dyDescent="0.3">
      <c r="C336" s="16"/>
      <c r="T336" s="22"/>
      <c r="U336" s="16"/>
    </row>
    <row r="337" spans="3:26" ht="15" hidden="1" x14ac:dyDescent="0.25">
      <c r="C337" s="16"/>
      <c r="T337" s="22"/>
      <c r="U337" s="16"/>
      <c r="Z337"/>
    </row>
    <row r="338" spans="3:26" ht="15" hidden="1" x14ac:dyDescent="0.25">
      <c r="C338" s="16"/>
      <c r="T338" s="22"/>
      <c r="U338" s="16"/>
      <c r="Z338"/>
    </row>
    <row r="339" spans="3:26" ht="15" hidden="1" x14ac:dyDescent="0.25">
      <c r="C339" s="16"/>
      <c r="T339" s="22"/>
      <c r="U339" s="16"/>
      <c r="Z339"/>
    </row>
  </sheetData>
  <autoFilter ref="AK1:BC339">
    <filterColumn colId="1">
      <filters>
        <filter val="08/16/2016"/>
        <filter val="08/19/2016"/>
        <filter val="08/22/2016"/>
        <filter val="08/23/2016"/>
        <filter val="08/24/2016"/>
        <filter val="08/25/2016"/>
        <filter val="08/26/2016"/>
        <filter val="08/28/2016"/>
        <filter val="08/29/2016"/>
        <filter val="08/30/2016"/>
        <filter val="08/31/2016"/>
      </filters>
    </filterColumn>
  </autoFilter>
  <conditionalFormatting sqref="AR1:BC1048576">
    <cfRule type="cellIs" dxfId="2" priority="1" operator="equal">
      <formula>FALSE</formula>
    </cfRule>
    <cfRule type="cellIs" dxfId="1" priority="2" operator="equal">
      <formula>FALSE</formula>
    </cfRule>
  </conditionalFormatting>
  <pageMargins left="0.7" right="0.7" top="0.75" bottom="0.75" header="0.3" footer="0.3"/>
  <pageSetup orientation="portrait" horizontalDpi="200" verticalDpi="200" copies="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S7"/>
  <sheetViews>
    <sheetView workbookViewId="0">
      <selection activeCell="M7" sqref="M7"/>
    </sheetView>
  </sheetViews>
  <sheetFormatPr defaultRowHeight="14.4" x14ac:dyDescent="0.3"/>
  <cols>
    <col min="1" max="1" width="6.88671875" style="20" bestFit="1" customWidth="1"/>
    <col min="2" max="2" width="12.109375" style="20" bestFit="1" customWidth="1"/>
    <col min="3" max="3" width="23.6640625" style="20" bestFit="1" customWidth="1"/>
    <col min="4" max="4" width="16" style="20" bestFit="1" customWidth="1"/>
    <col min="5" max="5" width="11.44140625" style="20" bestFit="1" customWidth="1"/>
    <col min="6" max="6" width="6.33203125" style="20" bestFit="1" customWidth="1"/>
    <col min="7" max="7" width="4" style="20" bestFit="1" customWidth="1"/>
    <col min="8" max="8" width="5" customWidth="1"/>
    <col min="9" max="9" width="10.44140625" bestFit="1" customWidth="1"/>
    <col min="10" max="10" width="12.109375" bestFit="1" customWidth="1"/>
    <col min="11" max="11" width="16" bestFit="1" customWidth="1"/>
    <col min="12" max="12" width="11.44140625" bestFit="1" customWidth="1"/>
    <col min="13" max="13" width="6.33203125" bestFit="1" customWidth="1"/>
    <col min="14" max="14" width="4" bestFit="1" customWidth="1"/>
    <col min="15" max="15" width="6.109375" customWidth="1"/>
    <col min="16" max="16" width="18.33203125" bestFit="1" customWidth="1"/>
    <col min="17" max="17" width="13.6640625" bestFit="1" customWidth="1"/>
    <col min="18" max="18" width="8.5546875" bestFit="1" customWidth="1"/>
    <col min="19" max="19" width="6.33203125" bestFit="1" customWidth="1"/>
  </cols>
  <sheetData>
    <row r="1" spans="1:19" x14ac:dyDescent="0.3">
      <c r="A1" s="20" t="s">
        <v>0</v>
      </c>
      <c r="B1" s="20" t="s">
        <v>246</v>
      </c>
      <c r="C1" s="20" t="s">
        <v>233</v>
      </c>
      <c r="D1" s="20" t="s">
        <v>247</v>
      </c>
      <c r="E1" s="20" t="s">
        <v>248</v>
      </c>
      <c r="F1" s="20" t="s">
        <v>120</v>
      </c>
      <c r="G1" s="20" t="s">
        <v>121</v>
      </c>
      <c r="I1" s="20" t="s">
        <v>0</v>
      </c>
      <c r="J1" s="20" t="s">
        <v>246</v>
      </c>
      <c r="K1" s="20" t="s">
        <v>247</v>
      </c>
      <c r="L1" s="20" t="s">
        <v>248</v>
      </c>
      <c r="M1" s="20" t="s">
        <v>120</v>
      </c>
      <c r="N1" s="20" t="s">
        <v>121</v>
      </c>
      <c r="P1" s="21" t="s">
        <v>247</v>
      </c>
      <c r="Q1" s="21" t="s">
        <v>248</v>
      </c>
      <c r="R1" s="21" t="s">
        <v>120</v>
      </c>
      <c r="S1" s="21" t="s">
        <v>121</v>
      </c>
    </row>
    <row r="2" spans="1:19" x14ac:dyDescent="0.3">
      <c r="A2" s="20" t="s">
        <v>245</v>
      </c>
      <c r="B2" s="32">
        <v>42863</v>
      </c>
      <c r="C2" s="20" t="s">
        <v>253</v>
      </c>
      <c r="D2" s="20">
        <v>5040</v>
      </c>
      <c r="E2" s="20">
        <v>5049</v>
      </c>
      <c r="F2" s="20">
        <v>7</v>
      </c>
      <c r="G2" s="20">
        <v>-9</v>
      </c>
      <c r="I2" t="s">
        <v>249</v>
      </c>
      <c r="J2" s="22">
        <v>42863</v>
      </c>
      <c r="K2">
        <v>5040</v>
      </c>
      <c r="L2">
        <v>5049</v>
      </c>
      <c r="M2">
        <v>7</v>
      </c>
      <c r="N2">
        <v>-9</v>
      </c>
      <c r="O2">
        <v>-0.18</v>
      </c>
      <c r="P2" t="b">
        <f>D2=K2</f>
        <v>1</v>
      </c>
      <c r="Q2" t="b">
        <f t="shared" ref="Q2:S3" si="0">E2=L2</f>
        <v>1</v>
      </c>
      <c r="R2" t="b">
        <f t="shared" si="0"/>
        <v>1</v>
      </c>
      <c r="S2" t="b">
        <f t="shared" si="0"/>
        <v>1</v>
      </c>
    </row>
    <row r="3" spans="1:19" x14ac:dyDescent="0.3">
      <c r="A3" s="20" t="s">
        <v>245</v>
      </c>
      <c r="B3" s="32">
        <v>42866</v>
      </c>
      <c r="C3" s="20" t="s">
        <v>257</v>
      </c>
      <c r="D3" s="20">
        <v>30</v>
      </c>
      <c r="E3" s="20">
        <v>31</v>
      </c>
      <c r="F3" s="20">
        <v>1</v>
      </c>
      <c r="G3" s="20">
        <v>-1</v>
      </c>
      <c r="I3" t="s">
        <v>249</v>
      </c>
      <c r="J3" s="22">
        <v>42866</v>
      </c>
      <c r="K3">
        <v>30</v>
      </c>
      <c r="L3">
        <v>31</v>
      </c>
      <c r="M3">
        <v>1</v>
      </c>
      <c r="N3">
        <v>-1</v>
      </c>
      <c r="O3">
        <v>-3.33</v>
      </c>
      <c r="P3" t="b">
        <f t="shared" ref="P3" si="1">D3=K3</f>
        <v>1</v>
      </c>
      <c r="Q3" t="b">
        <f t="shared" si="0"/>
        <v>1</v>
      </c>
      <c r="R3" t="b">
        <f t="shared" si="0"/>
        <v>1</v>
      </c>
      <c r="S3" t="b">
        <f t="shared" si="0"/>
        <v>1</v>
      </c>
    </row>
    <row r="4" spans="1:19" x14ac:dyDescent="0.3">
      <c r="B4" s="32"/>
      <c r="J4" s="22"/>
    </row>
    <row r="5" spans="1:19" x14ac:dyDescent="0.3">
      <c r="B5" s="32"/>
      <c r="J5" s="22"/>
    </row>
    <row r="6" spans="1:19" x14ac:dyDescent="0.3">
      <c r="B6" s="32"/>
      <c r="J6" s="22"/>
    </row>
    <row r="7" spans="1:19" x14ac:dyDescent="0.3">
      <c r="B7" s="32"/>
      <c r="J7" s="22"/>
    </row>
  </sheetData>
  <autoFilter ref="P1:S1"/>
  <conditionalFormatting sqref="P1:S1048576">
    <cfRule type="cellIs" dxfId="0" priority="1" operator="equal">
      <formula>FALSE</formula>
    </cfRule>
  </conditionalFormatting>
  <pageMargins left="0.7" right="0.7" top="0.75" bottom="0.75" header="0.3" footer="0.3"/>
  <pageSetup orientation="portrait" horizontalDpi="200" verticalDpi="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Q627"/>
  <sheetViews>
    <sheetView topLeftCell="A621" workbookViewId="0">
      <selection activeCell="Q499" sqref="Q499:Q627"/>
    </sheetView>
  </sheetViews>
  <sheetFormatPr defaultRowHeight="14.4" x14ac:dyDescent="0.3"/>
  <cols>
    <col min="1" max="1" width="6.88671875" style="20" bestFit="1" customWidth="1"/>
    <col min="2" max="2" width="8" style="20" bestFit="1" customWidth="1"/>
    <col min="3" max="3" width="9.88671875" style="20" bestFit="1" customWidth="1"/>
    <col min="4" max="4" width="23.6640625" style="20" bestFit="1" customWidth="1"/>
    <col min="5" max="5" width="9.6640625" style="20" bestFit="1" customWidth="1"/>
    <col min="6" max="15" width="4" style="20" bestFit="1" customWidth="1"/>
    <col min="16" max="16" width="2.6640625" style="20" customWidth="1"/>
    <col min="17" max="17" width="22.6640625" customWidth="1"/>
  </cols>
  <sheetData>
    <row r="1" spans="1:17" x14ac:dyDescent="0.3">
      <c r="A1" s="20" t="s">
        <v>0</v>
      </c>
      <c r="B1" s="20" t="s">
        <v>231</v>
      </c>
      <c r="C1" s="20" t="s">
        <v>232</v>
      </c>
      <c r="D1" s="20" t="s">
        <v>233</v>
      </c>
      <c r="E1" s="20" t="s">
        <v>234</v>
      </c>
      <c r="F1" s="20" t="s">
        <v>235</v>
      </c>
      <c r="G1" s="20" t="s">
        <v>236</v>
      </c>
      <c r="H1" s="20" t="s">
        <v>237</v>
      </c>
      <c r="I1" s="20" t="s">
        <v>238</v>
      </c>
      <c r="J1" s="20" t="s">
        <v>239</v>
      </c>
      <c r="K1" s="20" t="s">
        <v>240</v>
      </c>
      <c r="L1" s="20" t="s">
        <v>241</v>
      </c>
      <c r="M1" s="20" t="s">
        <v>242</v>
      </c>
      <c r="N1" s="20" t="s">
        <v>243</v>
      </c>
      <c r="O1" s="20" t="s">
        <v>244</v>
      </c>
      <c r="Q1" s="21" t="s">
        <v>252</v>
      </c>
    </row>
    <row r="2" spans="1:17" x14ac:dyDescent="0.3">
      <c r="A2" s="20" t="s">
        <v>89</v>
      </c>
      <c r="B2" s="20">
        <v>318397</v>
      </c>
      <c r="C2" s="32">
        <v>42888</v>
      </c>
      <c r="D2" s="20" t="s">
        <v>255</v>
      </c>
      <c r="E2" s="20">
        <v>22</v>
      </c>
      <c r="F2" s="20">
        <v>22</v>
      </c>
      <c r="G2" s="20">
        <v>22</v>
      </c>
      <c r="H2" s="20">
        <v>23</v>
      </c>
      <c r="I2" s="20">
        <v>23</v>
      </c>
      <c r="J2" s="20">
        <v>23</v>
      </c>
      <c r="K2" s="20">
        <v>23</v>
      </c>
      <c r="L2" s="20">
        <v>23</v>
      </c>
      <c r="M2" s="20">
        <v>23</v>
      </c>
      <c r="N2" s="20">
        <v>23</v>
      </c>
      <c r="O2" s="20">
        <v>23</v>
      </c>
      <c r="Q2">
        <f>SUM(F2:O2)</f>
        <v>228</v>
      </c>
    </row>
    <row r="3" spans="1:17" x14ac:dyDescent="0.3">
      <c r="A3" s="20" t="s">
        <v>89</v>
      </c>
      <c r="B3" s="20">
        <v>320519</v>
      </c>
      <c r="C3" s="32">
        <v>42888</v>
      </c>
      <c r="D3" s="20" t="s">
        <v>255</v>
      </c>
      <c r="E3" s="20">
        <v>20</v>
      </c>
      <c r="F3" s="20">
        <v>20</v>
      </c>
      <c r="G3" s="20">
        <v>22</v>
      </c>
      <c r="H3" s="20">
        <v>24</v>
      </c>
      <c r="I3" s="20">
        <v>24</v>
      </c>
      <c r="J3" s="20">
        <v>24</v>
      </c>
      <c r="K3" s="20">
        <v>24</v>
      </c>
      <c r="L3" s="20">
        <v>24</v>
      </c>
      <c r="M3" s="20">
        <v>24</v>
      </c>
      <c r="N3" s="20">
        <v>24</v>
      </c>
      <c r="O3" s="20">
        <v>24</v>
      </c>
      <c r="Q3">
        <f t="shared" ref="Q3:Q66" si="0">SUM(F3:O3)</f>
        <v>234</v>
      </c>
    </row>
    <row r="4" spans="1:17" x14ac:dyDescent="0.3">
      <c r="A4" s="20" t="s">
        <v>89</v>
      </c>
      <c r="B4" s="20">
        <v>318993</v>
      </c>
      <c r="C4" s="32">
        <v>42888</v>
      </c>
      <c r="D4" s="20" t="s">
        <v>255</v>
      </c>
      <c r="E4" s="20">
        <v>4</v>
      </c>
      <c r="F4" s="20">
        <v>4</v>
      </c>
      <c r="G4" s="20">
        <v>5</v>
      </c>
      <c r="H4" s="20">
        <v>8</v>
      </c>
      <c r="I4" s="20">
        <v>9</v>
      </c>
      <c r="J4" s="20">
        <v>14</v>
      </c>
      <c r="K4" s="20">
        <v>17</v>
      </c>
      <c r="L4" s="20">
        <v>19</v>
      </c>
      <c r="M4" s="20">
        <v>20</v>
      </c>
      <c r="N4" s="20">
        <v>20</v>
      </c>
      <c r="O4" s="20">
        <v>20</v>
      </c>
      <c r="Q4">
        <f t="shared" si="0"/>
        <v>136</v>
      </c>
    </row>
    <row r="5" spans="1:17" x14ac:dyDescent="0.3">
      <c r="A5" s="20" t="s">
        <v>89</v>
      </c>
      <c r="B5" s="20">
        <v>319556</v>
      </c>
      <c r="C5" s="32">
        <v>42888</v>
      </c>
      <c r="D5" s="20" t="s">
        <v>253</v>
      </c>
      <c r="E5" s="20">
        <v>74</v>
      </c>
      <c r="F5" s="20">
        <v>74</v>
      </c>
      <c r="G5" s="20">
        <v>94</v>
      </c>
      <c r="H5" s="20">
        <v>115</v>
      </c>
      <c r="I5" s="20">
        <v>115</v>
      </c>
      <c r="J5" s="20">
        <v>115</v>
      </c>
      <c r="K5" s="20">
        <v>115</v>
      </c>
      <c r="L5" s="20">
        <v>115</v>
      </c>
      <c r="M5" s="20">
        <v>115</v>
      </c>
      <c r="N5" s="20">
        <v>115</v>
      </c>
      <c r="O5" s="20">
        <v>115</v>
      </c>
      <c r="Q5">
        <f t="shared" si="0"/>
        <v>1088</v>
      </c>
    </row>
    <row r="6" spans="1:17" x14ac:dyDescent="0.3">
      <c r="A6" s="20" t="s">
        <v>89</v>
      </c>
      <c r="B6" s="20">
        <v>319557</v>
      </c>
      <c r="C6" s="32">
        <v>42888</v>
      </c>
      <c r="D6" s="20" t="s">
        <v>255</v>
      </c>
      <c r="E6" s="20">
        <v>5</v>
      </c>
      <c r="F6" s="20">
        <v>5</v>
      </c>
      <c r="G6" s="20">
        <v>7</v>
      </c>
      <c r="H6" s="20">
        <v>14</v>
      </c>
      <c r="I6" s="20">
        <v>16</v>
      </c>
      <c r="J6" s="20">
        <v>17</v>
      </c>
      <c r="K6" s="20">
        <v>17</v>
      </c>
      <c r="L6" s="20">
        <v>17</v>
      </c>
      <c r="M6" s="20">
        <v>17</v>
      </c>
      <c r="N6" s="20">
        <v>17</v>
      </c>
      <c r="O6" s="20">
        <v>17</v>
      </c>
      <c r="Q6">
        <f t="shared" si="0"/>
        <v>144</v>
      </c>
    </row>
    <row r="7" spans="1:17" x14ac:dyDescent="0.3">
      <c r="A7" s="20" t="s">
        <v>89</v>
      </c>
      <c r="B7" s="20">
        <v>318487</v>
      </c>
      <c r="C7" s="32">
        <v>42888</v>
      </c>
      <c r="D7" s="20" t="s">
        <v>255</v>
      </c>
      <c r="E7" s="20">
        <v>1</v>
      </c>
      <c r="F7" s="20">
        <v>1</v>
      </c>
      <c r="G7" s="20">
        <v>2</v>
      </c>
      <c r="H7" s="20">
        <v>6</v>
      </c>
      <c r="I7" s="20">
        <v>8</v>
      </c>
      <c r="J7" s="20">
        <v>9</v>
      </c>
      <c r="K7" s="20">
        <v>10</v>
      </c>
      <c r="L7" s="20">
        <v>12</v>
      </c>
      <c r="M7" s="20">
        <v>12</v>
      </c>
      <c r="N7" s="20">
        <v>12</v>
      </c>
      <c r="O7" s="20">
        <v>12</v>
      </c>
      <c r="Q7">
        <f t="shared" si="0"/>
        <v>84</v>
      </c>
    </row>
    <row r="8" spans="1:17" x14ac:dyDescent="0.3">
      <c r="A8" s="20" t="s">
        <v>89</v>
      </c>
      <c r="B8" s="20">
        <v>318299</v>
      </c>
      <c r="C8" s="32">
        <v>42888</v>
      </c>
      <c r="D8" s="20" t="s">
        <v>253</v>
      </c>
      <c r="E8" s="20">
        <v>112</v>
      </c>
      <c r="F8" s="20">
        <v>112</v>
      </c>
      <c r="G8" s="20">
        <v>118</v>
      </c>
      <c r="H8" s="20">
        <v>123</v>
      </c>
      <c r="I8" s="20">
        <v>124</v>
      </c>
      <c r="J8" s="20">
        <v>124</v>
      </c>
      <c r="K8" s="20">
        <v>124</v>
      </c>
      <c r="L8" s="20">
        <v>124</v>
      </c>
      <c r="M8" s="20">
        <v>124</v>
      </c>
      <c r="N8" s="20">
        <v>124</v>
      </c>
      <c r="O8" s="20">
        <v>124</v>
      </c>
      <c r="Q8">
        <f t="shared" si="0"/>
        <v>1221</v>
      </c>
    </row>
    <row r="9" spans="1:17" x14ac:dyDescent="0.3">
      <c r="A9" s="20" t="s">
        <v>89</v>
      </c>
      <c r="B9" s="20">
        <v>318313</v>
      </c>
      <c r="C9" s="32">
        <v>42888</v>
      </c>
      <c r="D9" s="20" t="s">
        <v>253</v>
      </c>
      <c r="E9" s="20">
        <v>50</v>
      </c>
      <c r="F9" s="20">
        <v>50</v>
      </c>
      <c r="G9" s="20">
        <v>70</v>
      </c>
      <c r="H9" s="20">
        <v>100</v>
      </c>
      <c r="I9" s="20">
        <v>114</v>
      </c>
      <c r="J9" s="20">
        <v>114</v>
      </c>
      <c r="K9" s="20">
        <v>114</v>
      </c>
      <c r="L9" s="20">
        <v>114</v>
      </c>
      <c r="M9" s="20">
        <v>114</v>
      </c>
      <c r="N9" s="20">
        <v>114</v>
      </c>
      <c r="O9" s="20">
        <v>114</v>
      </c>
      <c r="Q9">
        <f t="shared" si="0"/>
        <v>1018</v>
      </c>
    </row>
    <row r="10" spans="1:17" x14ac:dyDescent="0.3">
      <c r="A10" s="20" t="s">
        <v>89</v>
      </c>
      <c r="B10" s="20">
        <v>318314</v>
      </c>
      <c r="C10" s="32">
        <v>42888</v>
      </c>
      <c r="D10" s="20" t="s">
        <v>255</v>
      </c>
      <c r="E10" s="20">
        <v>7</v>
      </c>
      <c r="F10" s="20">
        <v>7</v>
      </c>
      <c r="G10" s="20">
        <v>9</v>
      </c>
      <c r="H10" s="20">
        <v>15</v>
      </c>
      <c r="I10" s="20">
        <v>17</v>
      </c>
      <c r="J10" s="20">
        <v>19</v>
      </c>
      <c r="K10" s="20">
        <v>20</v>
      </c>
      <c r="L10" s="20">
        <v>20</v>
      </c>
      <c r="M10" s="20">
        <v>20</v>
      </c>
      <c r="N10" s="20">
        <v>20</v>
      </c>
      <c r="O10" s="20">
        <v>20</v>
      </c>
      <c r="Q10">
        <f t="shared" si="0"/>
        <v>167</v>
      </c>
    </row>
    <row r="11" spans="1:17" x14ac:dyDescent="0.3">
      <c r="A11" s="20" t="s">
        <v>89</v>
      </c>
      <c r="B11" s="20">
        <v>318319</v>
      </c>
      <c r="C11" s="32">
        <v>42888</v>
      </c>
      <c r="D11" s="20" t="s">
        <v>258</v>
      </c>
      <c r="E11" s="20">
        <v>3</v>
      </c>
      <c r="F11" s="20">
        <v>3</v>
      </c>
      <c r="G11" s="20">
        <v>3</v>
      </c>
      <c r="H11" s="20">
        <v>4</v>
      </c>
      <c r="I11" s="20">
        <v>4</v>
      </c>
      <c r="J11" s="20">
        <v>4</v>
      </c>
      <c r="K11" s="20">
        <v>4</v>
      </c>
      <c r="L11" s="20">
        <v>4</v>
      </c>
      <c r="M11" s="20">
        <v>4</v>
      </c>
      <c r="N11" s="20">
        <v>4</v>
      </c>
      <c r="O11" s="20">
        <v>4</v>
      </c>
      <c r="Q11">
        <f t="shared" si="0"/>
        <v>38</v>
      </c>
    </row>
    <row r="12" spans="1:17" x14ac:dyDescent="0.3">
      <c r="A12" s="20" t="s">
        <v>89</v>
      </c>
      <c r="B12" s="20">
        <v>319270</v>
      </c>
      <c r="C12" s="32">
        <v>42888</v>
      </c>
      <c r="D12" s="20" t="s">
        <v>253</v>
      </c>
      <c r="E12" s="20">
        <v>8</v>
      </c>
      <c r="F12" s="20">
        <v>8</v>
      </c>
      <c r="G12" s="20">
        <v>12</v>
      </c>
      <c r="H12" s="20">
        <v>44</v>
      </c>
      <c r="I12" s="20">
        <v>71</v>
      </c>
      <c r="J12" s="20">
        <v>90</v>
      </c>
      <c r="K12" s="20">
        <v>98</v>
      </c>
      <c r="L12" s="20">
        <v>108</v>
      </c>
      <c r="M12" s="20">
        <v>113</v>
      </c>
      <c r="N12" s="20">
        <v>119</v>
      </c>
      <c r="O12" s="20">
        <v>119</v>
      </c>
      <c r="Q12">
        <f t="shared" si="0"/>
        <v>782</v>
      </c>
    </row>
    <row r="13" spans="1:17" x14ac:dyDescent="0.3">
      <c r="A13" s="20" t="s">
        <v>89</v>
      </c>
      <c r="B13" s="20">
        <v>319271</v>
      </c>
      <c r="C13" s="32">
        <v>42888</v>
      </c>
      <c r="D13" s="20" t="s">
        <v>255</v>
      </c>
      <c r="E13" s="20">
        <v>2</v>
      </c>
      <c r="F13" s="20">
        <v>2</v>
      </c>
      <c r="G13" s="20">
        <v>7</v>
      </c>
      <c r="H13" s="20">
        <v>10</v>
      </c>
      <c r="I13" s="20">
        <v>10</v>
      </c>
      <c r="J13" s="20">
        <v>11</v>
      </c>
      <c r="K13" s="20">
        <v>15</v>
      </c>
      <c r="L13" s="20">
        <v>18</v>
      </c>
      <c r="M13" s="20">
        <v>18</v>
      </c>
      <c r="N13" s="20">
        <v>18</v>
      </c>
      <c r="O13" s="20">
        <v>18</v>
      </c>
      <c r="Q13">
        <f t="shared" si="0"/>
        <v>127</v>
      </c>
    </row>
    <row r="14" spans="1:17" x14ac:dyDescent="0.3">
      <c r="A14" s="20" t="s">
        <v>89</v>
      </c>
      <c r="B14" s="20">
        <v>319369</v>
      </c>
      <c r="C14" s="32">
        <v>42888</v>
      </c>
      <c r="D14" s="20" t="s">
        <v>253</v>
      </c>
      <c r="E14" s="20">
        <v>62</v>
      </c>
      <c r="F14" s="20">
        <v>62</v>
      </c>
      <c r="G14" s="20">
        <v>70</v>
      </c>
      <c r="H14" s="20">
        <v>75</v>
      </c>
      <c r="I14" s="20">
        <v>84</v>
      </c>
      <c r="J14" s="20">
        <v>98</v>
      </c>
      <c r="K14" s="20">
        <v>103</v>
      </c>
      <c r="L14" s="20">
        <v>107</v>
      </c>
      <c r="M14" s="20">
        <v>107</v>
      </c>
      <c r="N14" s="20">
        <v>107</v>
      </c>
      <c r="O14" s="20">
        <v>107</v>
      </c>
      <c r="Q14">
        <f t="shared" si="0"/>
        <v>920</v>
      </c>
    </row>
    <row r="15" spans="1:17" x14ac:dyDescent="0.3">
      <c r="A15" s="20" t="s">
        <v>89</v>
      </c>
      <c r="B15" s="20">
        <v>319370</v>
      </c>
      <c r="C15" s="32">
        <v>42888</v>
      </c>
      <c r="D15" s="20" t="s">
        <v>255</v>
      </c>
      <c r="E15" s="20">
        <v>3</v>
      </c>
      <c r="F15" s="20">
        <v>3</v>
      </c>
      <c r="G15" s="20">
        <v>3</v>
      </c>
      <c r="H15" s="20">
        <v>8</v>
      </c>
      <c r="I15" s="20">
        <v>12</v>
      </c>
      <c r="J15" s="20">
        <v>15</v>
      </c>
      <c r="K15" s="20">
        <v>15</v>
      </c>
      <c r="L15" s="20">
        <v>15</v>
      </c>
      <c r="M15" s="20">
        <v>15</v>
      </c>
      <c r="N15" s="20">
        <v>15</v>
      </c>
      <c r="O15" s="20">
        <v>15</v>
      </c>
      <c r="Q15">
        <f t="shared" si="0"/>
        <v>116</v>
      </c>
    </row>
    <row r="16" spans="1:17" x14ac:dyDescent="0.3">
      <c r="A16" s="20" t="s">
        <v>89</v>
      </c>
      <c r="B16" s="20">
        <v>325728</v>
      </c>
      <c r="C16" s="32">
        <v>42888</v>
      </c>
      <c r="D16" s="20" t="s">
        <v>255</v>
      </c>
      <c r="E16" s="20">
        <v>2</v>
      </c>
      <c r="F16" s="20">
        <v>2</v>
      </c>
      <c r="G16" s="20">
        <v>3</v>
      </c>
      <c r="H16" s="20">
        <v>7</v>
      </c>
      <c r="I16" s="20">
        <v>11</v>
      </c>
      <c r="J16" s="20">
        <v>15</v>
      </c>
      <c r="K16" s="20">
        <v>16</v>
      </c>
      <c r="L16" s="20">
        <v>18</v>
      </c>
      <c r="M16" s="20">
        <v>24</v>
      </c>
      <c r="N16" s="20">
        <v>25</v>
      </c>
      <c r="O16" s="20">
        <v>26</v>
      </c>
      <c r="Q16">
        <f t="shared" si="0"/>
        <v>147</v>
      </c>
    </row>
    <row r="17" spans="1:17" x14ac:dyDescent="0.3">
      <c r="A17" s="20" t="s">
        <v>89</v>
      </c>
      <c r="B17" s="20">
        <v>325786</v>
      </c>
      <c r="C17" s="32">
        <v>42888</v>
      </c>
      <c r="D17" s="20" t="s">
        <v>253</v>
      </c>
      <c r="E17" s="20">
        <v>3</v>
      </c>
      <c r="F17" s="20">
        <v>3</v>
      </c>
      <c r="G17" s="20">
        <v>4</v>
      </c>
      <c r="H17" s="20">
        <v>26</v>
      </c>
      <c r="I17" s="20">
        <v>39</v>
      </c>
      <c r="J17" s="20">
        <v>60</v>
      </c>
      <c r="K17" s="20">
        <v>71</v>
      </c>
      <c r="L17" s="20">
        <v>89</v>
      </c>
      <c r="M17" s="20">
        <v>89</v>
      </c>
      <c r="N17" s="20">
        <v>89</v>
      </c>
      <c r="O17" s="20">
        <v>89</v>
      </c>
      <c r="Q17">
        <f t="shared" si="0"/>
        <v>559</v>
      </c>
    </row>
    <row r="18" spans="1:17" x14ac:dyDescent="0.3">
      <c r="A18" s="20" t="s">
        <v>89</v>
      </c>
      <c r="B18" s="20">
        <v>325787</v>
      </c>
      <c r="C18" s="32">
        <v>42888</v>
      </c>
      <c r="D18" s="20" t="s">
        <v>255</v>
      </c>
      <c r="E18" s="20">
        <v>6</v>
      </c>
      <c r="F18" s="20">
        <v>6</v>
      </c>
      <c r="G18" s="20">
        <v>9</v>
      </c>
      <c r="H18" s="20">
        <v>15</v>
      </c>
      <c r="I18" s="20">
        <v>17</v>
      </c>
      <c r="J18" s="20">
        <v>17</v>
      </c>
      <c r="K18" s="20">
        <v>19</v>
      </c>
      <c r="L18" s="20">
        <v>19</v>
      </c>
      <c r="M18" s="20">
        <v>19</v>
      </c>
      <c r="N18" s="20">
        <v>19</v>
      </c>
      <c r="O18" s="20">
        <v>19</v>
      </c>
      <c r="Q18">
        <f t="shared" si="0"/>
        <v>159</v>
      </c>
    </row>
    <row r="19" spans="1:17" x14ac:dyDescent="0.3">
      <c r="A19" s="20" t="s">
        <v>89</v>
      </c>
      <c r="B19" s="20">
        <v>326448</v>
      </c>
      <c r="C19" s="32">
        <v>42888</v>
      </c>
      <c r="D19" s="20" t="s">
        <v>255</v>
      </c>
      <c r="E19" s="20">
        <v>4</v>
      </c>
      <c r="F19" s="20">
        <v>4</v>
      </c>
      <c r="G19" s="20">
        <v>4</v>
      </c>
      <c r="H19" s="20">
        <v>10</v>
      </c>
      <c r="I19" s="20">
        <v>11</v>
      </c>
      <c r="J19" s="20">
        <v>13</v>
      </c>
      <c r="K19" s="20">
        <v>13</v>
      </c>
      <c r="L19" s="20">
        <v>13</v>
      </c>
      <c r="M19" s="20">
        <v>13</v>
      </c>
      <c r="N19" s="20">
        <v>13</v>
      </c>
      <c r="O19" s="20">
        <v>13</v>
      </c>
      <c r="Q19">
        <f t="shared" si="0"/>
        <v>107</v>
      </c>
    </row>
    <row r="20" spans="1:17" x14ac:dyDescent="0.3">
      <c r="A20" s="20" t="s">
        <v>89</v>
      </c>
      <c r="B20" s="20">
        <v>326541</v>
      </c>
      <c r="C20" s="32">
        <v>42888</v>
      </c>
      <c r="D20" s="20" t="s">
        <v>255</v>
      </c>
      <c r="E20" s="20">
        <v>25</v>
      </c>
      <c r="F20" s="20">
        <v>25</v>
      </c>
      <c r="G20" s="20">
        <v>27</v>
      </c>
      <c r="H20" s="20">
        <v>27</v>
      </c>
      <c r="I20" s="20">
        <v>27</v>
      </c>
      <c r="J20" s="20">
        <v>27</v>
      </c>
      <c r="K20" s="20">
        <v>27</v>
      </c>
      <c r="L20" s="20">
        <v>27</v>
      </c>
      <c r="M20" s="20">
        <v>27</v>
      </c>
      <c r="N20" s="20">
        <v>27</v>
      </c>
      <c r="O20" s="20">
        <v>27</v>
      </c>
      <c r="Q20">
        <f t="shared" si="0"/>
        <v>268</v>
      </c>
    </row>
    <row r="21" spans="1:17" x14ac:dyDescent="0.3">
      <c r="A21" s="20" t="s">
        <v>89</v>
      </c>
      <c r="B21" s="20">
        <v>326627</v>
      </c>
      <c r="C21" s="32">
        <v>42888</v>
      </c>
      <c r="D21" s="20" t="s">
        <v>255</v>
      </c>
      <c r="E21" s="20">
        <v>11</v>
      </c>
      <c r="F21" s="20">
        <v>11</v>
      </c>
      <c r="G21" s="20">
        <v>12</v>
      </c>
      <c r="H21" s="20">
        <v>18</v>
      </c>
      <c r="I21" s="20">
        <v>23</v>
      </c>
      <c r="J21" s="20">
        <v>24</v>
      </c>
      <c r="K21" s="20">
        <v>24</v>
      </c>
      <c r="L21" s="20">
        <v>24</v>
      </c>
      <c r="M21" s="20">
        <v>24</v>
      </c>
      <c r="N21" s="20">
        <v>24</v>
      </c>
      <c r="O21" s="20">
        <v>24</v>
      </c>
      <c r="Q21">
        <f t="shared" si="0"/>
        <v>208</v>
      </c>
    </row>
    <row r="22" spans="1:17" x14ac:dyDescent="0.3">
      <c r="A22" s="20" t="s">
        <v>89</v>
      </c>
      <c r="B22" s="20">
        <v>326067</v>
      </c>
      <c r="C22" s="32">
        <v>42888</v>
      </c>
      <c r="D22" s="20" t="s">
        <v>255</v>
      </c>
      <c r="E22" s="20">
        <v>2</v>
      </c>
      <c r="F22" s="20">
        <v>2</v>
      </c>
      <c r="G22" s="20">
        <v>8</v>
      </c>
      <c r="H22" s="20">
        <v>14</v>
      </c>
      <c r="I22" s="20">
        <v>19</v>
      </c>
      <c r="J22" s="20">
        <v>24</v>
      </c>
      <c r="K22" s="20">
        <v>25</v>
      </c>
      <c r="L22" s="20">
        <v>30</v>
      </c>
      <c r="M22" s="20">
        <v>31</v>
      </c>
      <c r="N22" s="20">
        <v>31</v>
      </c>
      <c r="O22" s="20">
        <v>31</v>
      </c>
      <c r="Q22">
        <f t="shared" si="0"/>
        <v>215</v>
      </c>
    </row>
    <row r="23" spans="1:17" x14ac:dyDescent="0.3">
      <c r="A23" s="20" t="s">
        <v>89</v>
      </c>
      <c r="B23" s="20">
        <v>326766</v>
      </c>
      <c r="C23" s="32">
        <v>42888</v>
      </c>
      <c r="D23" s="20" t="s">
        <v>253</v>
      </c>
      <c r="E23" s="20">
        <v>99</v>
      </c>
      <c r="F23" s="20">
        <v>99</v>
      </c>
      <c r="G23" s="20">
        <v>103</v>
      </c>
      <c r="H23" s="20">
        <v>103</v>
      </c>
      <c r="I23" s="20">
        <v>103</v>
      </c>
      <c r="J23" s="20">
        <v>103</v>
      </c>
      <c r="K23" s="20">
        <v>103</v>
      </c>
      <c r="L23" s="20">
        <v>103</v>
      </c>
      <c r="M23" s="20">
        <v>103</v>
      </c>
      <c r="N23" s="20">
        <v>103</v>
      </c>
      <c r="O23" s="20">
        <v>103</v>
      </c>
      <c r="Q23">
        <f t="shared" si="0"/>
        <v>1026</v>
      </c>
    </row>
    <row r="24" spans="1:17" x14ac:dyDescent="0.3">
      <c r="A24" s="20" t="s">
        <v>89</v>
      </c>
      <c r="B24" s="20">
        <v>326767</v>
      </c>
      <c r="C24" s="32">
        <v>42888</v>
      </c>
      <c r="D24" s="20" t="s">
        <v>255</v>
      </c>
      <c r="E24" s="20">
        <v>10</v>
      </c>
      <c r="F24" s="20">
        <v>10</v>
      </c>
      <c r="G24" s="20">
        <v>10</v>
      </c>
      <c r="H24" s="20">
        <v>12</v>
      </c>
      <c r="I24" s="20">
        <v>13</v>
      </c>
      <c r="J24" s="20">
        <v>13</v>
      </c>
      <c r="K24" s="20">
        <v>13</v>
      </c>
      <c r="L24" s="20">
        <v>13</v>
      </c>
      <c r="M24" s="20">
        <v>13</v>
      </c>
      <c r="N24" s="20">
        <v>13</v>
      </c>
      <c r="O24" s="20">
        <v>13</v>
      </c>
      <c r="Q24">
        <f t="shared" si="0"/>
        <v>123</v>
      </c>
    </row>
    <row r="25" spans="1:17" x14ac:dyDescent="0.3">
      <c r="A25" s="20" t="s">
        <v>89</v>
      </c>
      <c r="B25" s="20">
        <v>326128</v>
      </c>
      <c r="C25" s="32">
        <v>42888</v>
      </c>
      <c r="D25" s="20" t="s">
        <v>253</v>
      </c>
      <c r="E25" s="20">
        <v>103</v>
      </c>
      <c r="F25" s="20">
        <v>103</v>
      </c>
      <c r="G25" s="20">
        <v>109</v>
      </c>
      <c r="H25" s="20">
        <v>115</v>
      </c>
      <c r="I25" s="20">
        <v>115</v>
      </c>
      <c r="J25" s="20">
        <v>115</v>
      </c>
      <c r="K25" s="20">
        <v>115</v>
      </c>
      <c r="L25" s="20">
        <v>115</v>
      </c>
      <c r="M25" s="20">
        <v>115</v>
      </c>
      <c r="N25" s="20">
        <v>115</v>
      </c>
      <c r="O25" s="20">
        <v>115</v>
      </c>
      <c r="Q25">
        <f t="shared" si="0"/>
        <v>1132</v>
      </c>
    </row>
    <row r="26" spans="1:17" x14ac:dyDescent="0.3">
      <c r="A26" s="20" t="s">
        <v>89</v>
      </c>
      <c r="B26" s="20">
        <v>326129</v>
      </c>
      <c r="C26" s="32">
        <v>42888</v>
      </c>
      <c r="D26" s="20" t="s">
        <v>255</v>
      </c>
      <c r="E26" s="20">
        <v>10</v>
      </c>
      <c r="F26" s="20">
        <v>10</v>
      </c>
      <c r="G26" s="20">
        <v>12</v>
      </c>
      <c r="H26" s="20">
        <v>21</v>
      </c>
      <c r="I26" s="20">
        <v>21</v>
      </c>
      <c r="J26" s="20">
        <v>21</v>
      </c>
      <c r="K26" s="20">
        <v>21</v>
      </c>
      <c r="L26" s="20">
        <v>21</v>
      </c>
      <c r="M26" s="20">
        <v>21</v>
      </c>
      <c r="N26" s="20">
        <v>21</v>
      </c>
      <c r="O26" s="20">
        <v>21</v>
      </c>
      <c r="Q26">
        <f t="shared" si="0"/>
        <v>190</v>
      </c>
    </row>
    <row r="27" spans="1:17" x14ac:dyDescent="0.3">
      <c r="A27" s="20" t="s">
        <v>89</v>
      </c>
      <c r="B27" s="20">
        <v>327449</v>
      </c>
      <c r="C27" s="32">
        <v>42888</v>
      </c>
      <c r="D27" s="20" t="s">
        <v>253</v>
      </c>
      <c r="E27" s="20">
        <v>104</v>
      </c>
      <c r="F27" s="20">
        <v>104</v>
      </c>
      <c r="G27" s="20">
        <v>126</v>
      </c>
      <c r="H27" s="20">
        <v>149</v>
      </c>
      <c r="I27" s="20">
        <v>149</v>
      </c>
      <c r="J27" s="20">
        <v>149</v>
      </c>
      <c r="K27" s="20">
        <v>149</v>
      </c>
      <c r="L27" s="20">
        <v>149</v>
      </c>
      <c r="M27" s="20">
        <v>149</v>
      </c>
      <c r="N27" s="20">
        <v>149</v>
      </c>
      <c r="O27" s="20">
        <v>149</v>
      </c>
      <c r="Q27">
        <f t="shared" si="0"/>
        <v>1422</v>
      </c>
    </row>
    <row r="28" spans="1:17" x14ac:dyDescent="0.3">
      <c r="A28" s="20" t="s">
        <v>89</v>
      </c>
      <c r="B28" s="20">
        <v>327450</v>
      </c>
      <c r="C28" s="32">
        <v>42888</v>
      </c>
      <c r="D28" s="20" t="s">
        <v>255</v>
      </c>
      <c r="E28" s="20">
        <v>15</v>
      </c>
      <c r="F28" s="20">
        <v>15</v>
      </c>
      <c r="G28" s="20">
        <v>18</v>
      </c>
      <c r="H28" s="20">
        <v>21</v>
      </c>
      <c r="I28" s="20">
        <v>21</v>
      </c>
      <c r="J28" s="20">
        <v>21</v>
      </c>
      <c r="K28" s="20">
        <v>21</v>
      </c>
      <c r="L28" s="20">
        <v>21</v>
      </c>
      <c r="M28" s="20">
        <v>21</v>
      </c>
      <c r="N28" s="20">
        <v>21</v>
      </c>
      <c r="O28" s="20">
        <v>21</v>
      </c>
      <c r="Q28">
        <f t="shared" si="0"/>
        <v>201</v>
      </c>
    </row>
    <row r="29" spans="1:17" x14ac:dyDescent="0.3">
      <c r="A29" s="20" t="s">
        <v>89</v>
      </c>
      <c r="B29" s="20">
        <v>327452</v>
      </c>
      <c r="C29" s="32">
        <v>42888</v>
      </c>
      <c r="D29" s="20" t="s">
        <v>256</v>
      </c>
      <c r="E29" s="20">
        <v>2</v>
      </c>
      <c r="F29" s="20">
        <v>2</v>
      </c>
      <c r="G29" s="20">
        <v>2</v>
      </c>
      <c r="H29" s="20">
        <v>3</v>
      </c>
      <c r="I29" s="20">
        <v>4</v>
      </c>
      <c r="J29" s="20">
        <v>4</v>
      </c>
      <c r="K29" s="20">
        <v>4</v>
      </c>
      <c r="L29" s="20">
        <v>4</v>
      </c>
      <c r="M29" s="20">
        <v>4</v>
      </c>
      <c r="N29" s="20">
        <v>4</v>
      </c>
      <c r="O29" s="20">
        <v>4</v>
      </c>
      <c r="Q29">
        <f t="shared" si="0"/>
        <v>35</v>
      </c>
    </row>
    <row r="30" spans="1:17" x14ac:dyDescent="0.3">
      <c r="A30" s="20" t="s">
        <v>89</v>
      </c>
      <c r="B30" s="20">
        <v>327548</v>
      </c>
      <c r="C30" s="32">
        <v>42888</v>
      </c>
      <c r="D30" s="20" t="s">
        <v>257</v>
      </c>
      <c r="E30" s="20">
        <v>1</v>
      </c>
      <c r="F30" s="20">
        <v>2</v>
      </c>
      <c r="G30" s="20">
        <v>2</v>
      </c>
      <c r="H30" s="20">
        <v>4</v>
      </c>
      <c r="I30" s="20">
        <v>5</v>
      </c>
      <c r="J30" s="20">
        <v>5</v>
      </c>
      <c r="K30" s="20">
        <v>5</v>
      </c>
      <c r="L30" s="20">
        <v>5</v>
      </c>
      <c r="M30" s="20">
        <v>5</v>
      </c>
      <c r="N30" s="20">
        <v>5</v>
      </c>
      <c r="O30" s="20">
        <v>5</v>
      </c>
      <c r="Q30">
        <f t="shared" si="0"/>
        <v>43</v>
      </c>
    </row>
    <row r="31" spans="1:17" x14ac:dyDescent="0.3">
      <c r="A31" s="20" t="s">
        <v>89</v>
      </c>
      <c r="B31" s="20">
        <v>327551</v>
      </c>
      <c r="C31" s="32">
        <v>42888</v>
      </c>
      <c r="D31" s="20" t="s">
        <v>258</v>
      </c>
      <c r="E31" s="20">
        <v>2</v>
      </c>
      <c r="F31" s="20">
        <v>2</v>
      </c>
      <c r="G31" s="20">
        <v>2</v>
      </c>
      <c r="H31" s="20">
        <v>3</v>
      </c>
      <c r="I31" s="20">
        <v>3</v>
      </c>
      <c r="J31" s="20">
        <v>3</v>
      </c>
      <c r="K31" s="20">
        <v>3</v>
      </c>
      <c r="L31" s="20">
        <v>3</v>
      </c>
      <c r="M31" s="20">
        <v>3</v>
      </c>
      <c r="N31" s="20">
        <v>3</v>
      </c>
      <c r="O31" s="20">
        <v>3</v>
      </c>
      <c r="Q31">
        <f t="shared" si="0"/>
        <v>28</v>
      </c>
    </row>
    <row r="32" spans="1:17" x14ac:dyDescent="0.3">
      <c r="A32" s="20" t="s">
        <v>89</v>
      </c>
      <c r="B32" s="20">
        <v>327361</v>
      </c>
      <c r="C32" s="32">
        <v>42888</v>
      </c>
      <c r="D32" s="20" t="s">
        <v>253</v>
      </c>
      <c r="E32" s="20">
        <v>90</v>
      </c>
      <c r="F32" s="20">
        <v>90</v>
      </c>
      <c r="G32" s="20">
        <v>92</v>
      </c>
      <c r="H32" s="20">
        <v>110</v>
      </c>
      <c r="I32" s="20">
        <v>129</v>
      </c>
      <c r="J32" s="20">
        <v>129</v>
      </c>
      <c r="K32" s="20">
        <v>129</v>
      </c>
      <c r="L32" s="20">
        <v>129</v>
      </c>
      <c r="M32" s="20">
        <v>129</v>
      </c>
      <c r="N32" s="20">
        <v>129</v>
      </c>
      <c r="O32" s="20">
        <v>129</v>
      </c>
      <c r="Q32">
        <f t="shared" si="0"/>
        <v>1195</v>
      </c>
    </row>
    <row r="33" spans="1:17" x14ac:dyDescent="0.3">
      <c r="A33" s="20" t="s">
        <v>89</v>
      </c>
      <c r="B33" s="20">
        <v>321785</v>
      </c>
      <c r="C33" s="32">
        <v>42888</v>
      </c>
      <c r="D33" s="20" t="s">
        <v>253</v>
      </c>
      <c r="E33" s="20">
        <v>119</v>
      </c>
      <c r="F33" s="20">
        <v>119</v>
      </c>
      <c r="G33" s="20">
        <v>129</v>
      </c>
      <c r="H33" s="20">
        <v>130</v>
      </c>
      <c r="I33" s="20">
        <v>130</v>
      </c>
      <c r="J33" s="20">
        <v>130</v>
      </c>
      <c r="K33" s="20">
        <v>130</v>
      </c>
      <c r="L33" s="20">
        <v>130</v>
      </c>
      <c r="M33" s="20">
        <v>130</v>
      </c>
      <c r="N33" s="20">
        <v>130</v>
      </c>
      <c r="O33" s="20">
        <v>130</v>
      </c>
      <c r="Q33">
        <f t="shared" si="0"/>
        <v>1288</v>
      </c>
    </row>
    <row r="34" spans="1:17" x14ac:dyDescent="0.3">
      <c r="A34" s="20" t="s">
        <v>89</v>
      </c>
      <c r="B34" s="20">
        <v>321786</v>
      </c>
      <c r="C34" s="32">
        <v>42888</v>
      </c>
      <c r="D34" s="20" t="s">
        <v>255</v>
      </c>
      <c r="E34" s="20">
        <v>11</v>
      </c>
      <c r="F34" s="20">
        <v>11</v>
      </c>
      <c r="G34" s="20">
        <v>13</v>
      </c>
      <c r="H34" s="20">
        <v>16</v>
      </c>
      <c r="I34" s="20">
        <v>16</v>
      </c>
      <c r="J34" s="20">
        <v>17</v>
      </c>
      <c r="K34" s="20">
        <v>17</v>
      </c>
      <c r="L34" s="20">
        <v>17</v>
      </c>
      <c r="M34" s="20">
        <v>17</v>
      </c>
      <c r="N34" s="20">
        <v>17</v>
      </c>
      <c r="O34" s="20">
        <v>17</v>
      </c>
      <c r="Q34">
        <f t="shared" si="0"/>
        <v>158</v>
      </c>
    </row>
    <row r="35" spans="1:17" x14ac:dyDescent="0.3">
      <c r="A35" s="20" t="s">
        <v>89</v>
      </c>
      <c r="B35" s="20">
        <v>321787</v>
      </c>
      <c r="C35" s="32">
        <v>42888</v>
      </c>
      <c r="D35" s="20" t="s">
        <v>256</v>
      </c>
      <c r="E35" s="20">
        <v>1</v>
      </c>
      <c r="F35" s="20">
        <v>1</v>
      </c>
      <c r="G35" s="20">
        <v>2</v>
      </c>
      <c r="H35" s="20">
        <v>2</v>
      </c>
      <c r="I35" s="20">
        <v>2</v>
      </c>
      <c r="J35" s="20">
        <v>2</v>
      </c>
      <c r="K35" s="20">
        <v>2</v>
      </c>
      <c r="L35" s="20">
        <v>2</v>
      </c>
      <c r="M35" s="20">
        <v>2</v>
      </c>
      <c r="N35" s="20">
        <v>2</v>
      </c>
      <c r="O35" s="20">
        <v>2</v>
      </c>
      <c r="Q35">
        <f t="shared" si="0"/>
        <v>19</v>
      </c>
    </row>
    <row r="36" spans="1:17" x14ac:dyDescent="0.3">
      <c r="A36" s="20" t="s">
        <v>89</v>
      </c>
      <c r="B36" s="20">
        <v>321980</v>
      </c>
      <c r="C36" s="32">
        <v>42888</v>
      </c>
      <c r="D36" s="20" t="s">
        <v>253</v>
      </c>
      <c r="E36" s="20">
        <v>17</v>
      </c>
      <c r="F36" s="20">
        <v>17</v>
      </c>
      <c r="G36" s="20">
        <v>43</v>
      </c>
      <c r="H36" s="20">
        <v>114</v>
      </c>
      <c r="I36" s="20">
        <v>124</v>
      </c>
      <c r="J36" s="20">
        <v>127</v>
      </c>
      <c r="K36" s="20">
        <v>127</v>
      </c>
      <c r="L36" s="20">
        <v>127</v>
      </c>
      <c r="M36" s="20">
        <v>127</v>
      </c>
      <c r="N36" s="20">
        <v>127</v>
      </c>
      <c r="O36" s="20">
        <v>127</v>
      </c>
      <c r="Q36">
        <f t="shared" si="0"/>
        <v>1060</v>
      </c>
    </row>
    <row r="37" spans="1:17" x14ac:dyDescent="0.3">
      <c r="A37" s="20" t="s">
        <v>89</v>
      </c>
      <c r="B37" s="20">
        <v>321981</v>
      </c>
      <c r="C37" s="32">
        <v>42888</v>
      </c>
      <c r="D37" s="20" t="s">
        <v>255</v>
      </c>
      <c r="E37" s="20">
        <v>7</v>
      </c>
      <c r="F37" s="20">
        <v>7</v>
      </c>
      <c r="G37" s="20">
        <v>10</v>
      </c>
      <c r="H37" s="20">
        <v>14</v>
      </c>
      <c r="I37" s="20">
        <v>16</v>
      </c>
      <c r="J37" s="20">
        <v>16</v>
      </c>
      <c r="K37" s="20">
        <v>16</v>
      </c>
      <c r="L37" s="20">
        <v>16</v>
      </c>
      <c r="M37" s="20">
        <v>16</v>
      </c>
      <c r="N37" s="20">
        <v>16</v>
      </c>
      <c r="O37" s="20">
        <v>16</v>
      </c>
      <c r="Q37">
        <f t="shared" si="0"/>
        <v>143</v>
      </c>
    </row>
    <row r="38" spans="1:17" x14ac:dyDescent="0.3">
      <c r="A38" s="20" t="s">
        <v>89</v>
      </c>
      <c r="B38" s="20">
        <v>321997</v>
      </c>
      <c r="C38" s="32">
        <v>42888</v>
      </c>
      <c r="D38" s="20" t="s">
        <v>260</v>
      </c>
      <c r="E38" s="20">
        <v>1</v>
      </c>
      <c r="F38" s="20">
        <v>1</v>
      </c>
      <c r="G38" s="20">
        <v>2</v>
      </c>
      <c r="H38" s="20">
        <v>2</v>
      </c>
      <c r="I38" s="20">
        <v>2</v>
      </c>
      <c r="J38" s="20">
        <v>2</v>
      </c>
      <c r="K38" s="20">
        <v>2</v>
      </c>
      <c r="L38" s="20">
        <v>2</v>
      </c>
      <c r="M38" s="20">
        <v>2</v>
      </c>
      <c r="N38" s="20">
        <v>2</v>
      </c>
      <c r="O38" s="20">
        <v>2</v>
      </c>
      <c r="Q38">
        <f t="shared" si="0"/>
        <v>19</v>
      </c>
    </row>
    <row r="39" spans="1:17" x14ac:dyDescent="0.3">
      <c r="A39" s="20" t="s">
        <v>89</v>
      </c>
      <c r="B39" s="20">
        <v>322087</v>
      </c>
      <c r="C39" s="32">
        <v>42888</v>
      </c>
      <c r="D39" s="20" t="s">
        <v>258</v>
      </c>
      <c r="E39" s="20">
        <v>3</v>
      </c>
      <c r="F39" s="20">
        <v>3</v>
      </c>
      <c r="G39" s="20">
        <v>4</v>
      </c>
      <c r="H39" s="20">
        <v>4</v>
      </c>
      <c r="I39" s="20">
        <v>4</v>
      </c>
      <c r="J39" s="20">
        <v>4</v>
      </c>
      <c r="K39" s="20">
        <v>4</v>
      </c>
      <c r="L39" s="20">
        <v>4</v>
      </c>
      <c r="M39" s="20">
        <v>4</v>
      </c>
      <c r="N39" s="20">
        <v>4</v>
      </c>
      <c r="O39" s="20">
        <v>4</v>
      </c>
      <c r="Q39">
        <f t="shared" si="0"/>
        <v>39</v>
      </c>
    </row>
    <row r="40" spans="1:17" x14ac:dyDescent="0.3">
      <c r="A40" s="20" t="s">
        <v>89</v>
      </c>
      <c r="B40" s="20">
        <v>322098</v>
      </c>
      <c r="C40" s="32">
        <v>42888</v>
      </c>
      <c r="D40" s="20" t="s">
        <v>258</v>
      </c>
      <c r="E40" s="20">
        <v>1</v>
      </c>
      <c r="F40" s="20">
        <v>1</v>
      </c>
      <c r="G40" s="20">
        <v>1</v>
      </c>
      <c r="H40" s="20">
        <v>2</v>
      </c>
      <c r="I40" s="20">
        <v>2</v>
      </c>
      <c r="J40" s="20">
        <v>4</v>
      </c>
      <c r="K40" s="20">
        <v>6</v>
      </c>
      <c r="L40" s="20">
        <v>7</v>
      </c>
      <c r="M40" s="20">
        <v>7</v>
      </c>
      <c r="N40" s="20">
        <v>7</v>
      </c>
      <c r="O40" s="20">
        <v>7</v>
      </c>
      <c r="Q40">
        <f t="shared" si="0"/>
        <v>44</v>
      </c>
    </row>
    <row r="41" spans="1:17" x14ac:dyDescent="0.3">
      <c r="A41" s="20" t="s">
        <v>89</v>
      </c>
      <c r="B41" s="20">
        <v>321085</v>
      </c>
      <c r="C41" s="32">
        <v>42888</v>
      </c>
      <c r="D41" s="20" t="s">
        <v>253</v>
      </c>
      <c r="E41" s="20">
        <v>56</v>
      </c>
      <c r="F41" s="20">
        <v>56</v>
      </c>
      <c r="G41" s="20">
        <v>58</v>
      </c>
      <c r="H41" s="20">
        <v>84</v>
      </c>
      <c r="I41" s="20">
        <v>123</v>
      </c>
      <c r="J41" s="20">
        <v>135</v>
      </c>
      <c r="K41" s="20">
        <v>135</v>
      </c>
      <c r="L41" s="20">
        <v>135</v>
      </c>
      <c r="M41" s="20">
        <v>135</v>
      </c>
      <c r="N41" s="20">
        <v>135</v>
      </c>
      <c r="O41" s="20">
        <v>135</v>
      </c>
      <c r="Q41">
        <f t="shared" si="0"/>
        <v>1131</v>
      </c>
    </row>
    <row r="42" spans="1:17" x14ac:dyDescent="0.3">
      <c r="A42" s="20" t="s">
        <v>89</v>
      </c>
      <c r="B42" s="20">
        <v>321086</v>
      </c>
      <c r="C42" s="32">
        <v>42888</v>
      </c>
      <c r="D42" s="20" t="s">
        <v>255</v>
      </c>
      <c r="E42" s="20">
        <v>3</v>
      </c>
      <c r="F42" s="20">
        <v>3</v>
      </c>
      <c r="G42" s="20">
        <v>5</v>
      </c>
      <c r="H42" s="20">
        <v>11</v>
      </c>
      <c r="I42" s="20">
        <v>12</v>
      </c>
      <c r="J42" s="20">
        <v>14</v>
      </c>
      <c r="K42" s="20">
        <v>14</v>
      </c>
      <c r="L42" s="20">
        <v>14</v>
      </c>
      <c r="M42" s="20">
        <v>14</v>
      </c>
      <c r="N42" s="20">
        <v>14</v>
      </c>
      <c r="O42" s="20">
        <v>14</v>
      </c>
      <c r="Q42">
        <f t="shared" si="0"/>
        <v>115</v>
      </c>
    </row>
    <row r="43" spans="1:17" x14ac:dyDescent="0.3">
      <c r="A43" s="20" t="s">
        <v>89</v>
      </c>
      <c r="B43" s="20">
        <v>321094</v>
      </c>
      <c r="C43" s="32">
        <v>42888</v>
      </c>
      <c r="D43" s="20" t="s">
        <v>258</v>
      </c>
      <c r="E43" s="20">
        <v>2</v>
      </c>
      <c r="F43" s="20">
        <v>2</v>
      </c>
      <c r="G43" s="20">
        <v>3</v>
      </c>
      <c r="H43" s="20">
        <v>4</v>
      </c>
      <c r="I43" s="20">
        <v>4</v>
      </c>
      <c r="J43" s="20">
        <v>4</v>
      </c>
      <c r="K43" s="20">
        <v>4</v>
      </c>
      <c r="L43" s="20">
        <v>4</v>
      </c>
      <c r="M43" s="20">
        <v>4</v>
      </c>
      <c r="N43" s="20">
        <v>4</v>
      </c>
      <c r="O43" s="20">
        <v>4</v>
      </c>
      <c r="Q43">
        <f t="shared" si="0"/>
        <v>37</v>
      </c>
    </row>
    <row r="44" spans="1:17" x14ac:dyDescent="0.3">
      <c r="A44" s="20" t="s">
        <v>89</v>
      </c>
      <c r="B44" s="20">
        <v>320050</v>
      </c>
      <c r="C44" s="32">
        <v>42888</v>
      </c>
      <c r="D44" s="20" t="s">
        <v>255</v>
      </c>
      <c r="E44" s="20">
        <v>2</v>
      </c>
      <c r="F44" s="20">
        <v>2</v>
      </c>
      <c r="G44" s="20">
        <v>5</v>
      </c>
      <c r="H44" s="20">
        <v>7</v>
      </c>
      <c r="I44" s="20">
        <v>9</v>
      </c>
      <c r="J44" s="20">
        <v>15</v>
      </c>
      <c r="K44" s="20">
        <v>16</v>
      </c>
      <c r="L44" s="20">
        <v>17</v>
      </c>
      <c r="M44" s="20">
        <v>18</v>
      </c>
      <c r="N44" s="20">
        <v>18</v>
      </c>
      <c r="O44" s="20">
        <v>18</v>
      </c>
      <c r="Q44">
        <f t="shared" si="0"/>
        <v>125</v>
      </c>
    </row>
    <row r="45" spans="1:17" x14ac:dyDescent="0.3">
      <c r="A45" s="20" t="s">
        <v>89</v>
      </c>
      <c r="B45" s="20">
        <v>320688</v>
      </c>
      <c r="C45" s="32">
        <v>42888</v>
      </c>
      <c r="D45" s="20" t="s">
        <v>253</v>
      </c>
      <c r="E45" s="20">
        <v>110</v>
      </c>
      <c r="F45" s="20">
        <v>110</v>
      </c>
      <c r="G45" s="20">
        <v>112</v>
      </c>
      <c r="H45" s="20">
        <v>113</v>
      </c>
      <c r="I45" s="20">
        <v>113</v>
      </c>
      <c r="J45" s="20">
        <v>113</v>
      </c>
      <c r="K45" s="20">
        <v>113</v>
      </c>
      <c r="L45" s="20">
        <v>113</v>
      </c>
      <c r="M45" s="20">
        <v>113</v>
      </c>
      <c r="N45" s="20">
        <v>113</v>
      </c>
      <c r="O45" s="20">
        <v>113</v>
      </c>
      <c r="Q45">
        <f t="shared" si="0"/>
        <v>1126</v>
      </c>
    </row>
    <row r="46" spans="1:17" x14ac:dyDescent="0.3">
      <c r="A46" s="20" t="s">
        <v>89</v>
      </c>
      <c r="B46" s="20">
        <v>320689</v>
      </c>
      <c r="C46" s="32">
        <v>42888</v>
      </c>
      <c r="D46" s="20" t="s">
        <v>255</v>
      </c>
      <c r="E46" s="20">
        <v>11</v>
      </c>
      <c r="F46" s="20">
        <v>11</v>
      </c>
      <c r="G46" s="20">
        <v>13</v>
      </c>
      <c r="H46" s="20">
        <v>17</v>
      </c>
      <c r="I46" s="20">
        <v>18</v>
      </c>
      <c r="J46" s="20">
        <v>18</v>
      </c>
      <c r="K46" s="20">
        <v>18</v>
      </c>
      <c r="L46" s="20">
        <v>18</v>
      </c>
      <c r="M46" s="20">
        <v>18</v>
      </c>
      <c r="N46" s="20">
        <v>18</v>
      </c>
      <c r="O46" s="20">
        <v>18</v>
      </c>
      <c r="Q46">
        <f t="shared" si="0"/>
        <v>167</v>
      </c>
    </row>
    <row r="47" spans="1:17" x14ac:dyDescent="0.3">
      <c r="A47" s="20" t="s">
        <v>89</v>
      </c>
      <c r="B47" s="20">
        <v>320695</v>
      </c>
      <c r="C47" s="32">
        <v>42888</v>
      </c>
      <c r="D47" s="20" t="s">
        <v>265</v>
      </c>
      <c r="E47" s="20">
        <v>1</v>
      </c>
      <c r="F47" s="20">
        <v>1</v>
      </c>
      <c r="G47" s="20">
        <v>1</v>
      </c>
      <c r="H47" s="20">
        <v>2</v>
      </c>
      <c r="I47" s="20">
        <v>2</v>
      </c>
      <c r="J47" s="20">
        <v>2</v>
      </c>
      <c r="K47" s="20">
        <v>2</v>
      </c>
      <c r="L47" s="20">
        <v>2</v>
      </c>
      <c r="M47" s="20">
        <v>2</v>
      </c>
      <c r="N47" s="20">
        <v>2</v>
      </c>
      <c r="O47" s="20">
        <v>2</v>
      </c>
      <c r="Q47">
        <f t="shared" si="0"/>
        <v>18</v>
      </c>
    </row>
    <row r="48" spans="1:17" x14ac:dyDescent="0.3">
      <c r="A48" s="20" t="s">
        <v>89</v>
      </c>
      <c r="B48" s="20">
        <v>320696</v>
      </c>
      <c r="C48" s="32">
        <v>42888</v>
      </c>
      <c r="D48" s="20" t="s">
        <v>258</v>
      </c>
      <c r="E48" s="20">
        <v>2</v>
      </c>
      <c r="F48" s="20">
        <v>2</v>
      </c>
      <c r="G48" s="20">
        <v>4</v>
      </c>
      <c r="H48" s="20">
        <v>4</v>
      </c>
      <c r="I48" s="20">
        <v>4</v>
      </c>
      <c r="J48" s="20">
        <v>4</v>
      </c>
      <c r="K48" s="20">
        <v>4</v>
      </c>
      <c r="L48" s="20">
        <v>4</v>
      </c>
      <c r="M48" s="20">
        <v>4</v>
      </c>
      <c r="N48" s="20">
        <v>4</v>
      </c>
      <c r="O48" s="20">
        <v>4</v>
      </c>
      <c r="Q48">
        <f t="shared" si="0"/>
        <v>38</v>
      </c>
    </row>
    <row r="49" spans="1:17" x14ac:dyDescent="0.3">
      <c r="A49" s="20" t="s">
        <v>89</v>
      </c>
      <c r="B49" s="20">
        <v>320730</v>
      </c>
      <c r="C49" s="32">
        <v>42888</v>
      </c>
      <c r="D49" s="20" t="s">
        <v>253</v>
      </c>
      <c r="E49" s="20">
        <v>117</v>
      </c>
      <c r="F49" s="20">
        <v>117</v>
      </c>
      <c r="G49" s="20">
        <v>125</v>
      </c>
      <c r="H49" s="20">
        <v>133</v>
      </c>
      <c r="I49" s="20">
        <v>133</v>
      </c>
      <c r="J49" s="20">
        <v>133</v>
      </c>
      <c r="K49" s="20">
        <v>133</v>
      </c>
      <c r="L49" s="20">
        <v>133</v>
      </c>
      <c r="M49" s="20">
        <v>133</v>
      </c>
      <c r="N49" s="20">
        <v>133</v>
      </c>
      <c r="O49" s="20">
        <v>133</v>
      </c>
      <c r="Q49">
        <f t="shared" si="0"/>
        <v>1306</v>
      </c>
    </row>
    <row r="50" spans="1:17" x14ac:dyDescent="0.3">
      <c r="A50" s="20" t="s">
        <v>89</v>
      </c>
      <c r="B50" s="20">
        <v>320731</v>
      </c>
      <c r="C50" s="32">
        <v>42888</v>
      </c>
      <c r="D50" s="20" t="s">
        <v>255</v>
      </c>
      <c r="E50" s="20">
        <v>18</v>
      </c>
      <c r="F50" s="20">
        <v>18</v>
      </c>
      <c r="G50" s="20">
        <v>22</v>
      </c>
      <c r="H50" s="20">
        <v>26</v>
      </c>
      <c r="I50" s="20">
        <v>27</v>
      </c>
      <c r="J50" s="20">
        <v>27</v>
      </c>
      <c r="K50" s="20">
        <v>27</v>
      </c>
      <c r="L50" s="20">
        <v>27</v>
      </c>
      <c r="M50" s="20">
        <v>27</v>
      </c>
      <c r="N50" s="20">
        <v>27</v>
      </c>
      <c r="O50" s="20">
        <v>27</v>
      </c>
      <c r="Q50">
        <f t="shared" si="0"/>
        <v>255</v>
      </c>
    </row>
    <row r="51" spans="1:17" x14ac:dyDescent="0.3">
      <c r="A51" s="20" t="s">
        <v>89</v>
      </c>
      <c r="B51" s="20">
        <v>320732</v>
      </c>
      <c r="C51" s="32">
        <v>42888</v>
      </c>
      <c r="D51" s="20" t="s">
        <v>256</v>
      </c>
      <c r="E51" s="20">
        <v>2</v>
      </c>
      <c r="F51" s="20">
        <v>2</v>
      </c>
      <c r="G51" s="20">
        <v>2</v>
      </c>
      <c r="H51" s="20">
        <v>3</v>
      </c>
      <c r="I51" s="20">
        <v>3</v>
      </c>
      <c r="J51" s="20">
        <v>3</v>
      </c>
      <c r="K51" s="20">
        <v>3</v>
      </c>
      <c r="L51" s="20">
        <v>3</v>
      </c>
      <c r="M51" s="20">
        <v>3</v>
      </c>
      <c r="N51" s="20">
        <v>3</v>
      </c>
      <c r="O51" s="20">
        <v>3</v>
      </c>
      <c r="Q51">
        <f t="shared" si="0"/>
        <v>28</v>
      </c>
    </row>
    <row r="52" spans="1:17" x14ac:dyDescent="0.3">
      <c r="A52" s="20" t="s">
        <v>89</v>
      </c>
      <c r="B52" s="20">
        <v>320737</v>
      </c>
      <c r="C52" s="32">
        <v>42888</v>
      </c>
      <c r="D52" s="20" t="s">
        <v>258</v>
      </c>
      <c r="E52" s="20">
        <v>2</v>
      </c>
      <c r="F52" s="20">
        <v>2</v>
      </c>
      <c r="G52" s="20">
        <v>2</v>
      </c>
      <c r="H52" s="20">
        <v>4</v>
      </c>
      <c r="I52" s="20">
        <v>4</v>
      </c>
      <c r="J52" s="20">
        <v>4</v>
      </c>
      <c r="K52" s="20">
        <v>4</v>
      </c>
      <c r="L52" s="20">
        <v>4</v>
      </c>
      <c r="M52" s="20">
        <v>4</v>
      </c>
      <c r="N52" s="20">
        <v>4</v>
      </c>
      <c r="O52" s="20">
        <v>4</v>
      </c>
      <c r="Q52">
        <f t="shared" si="0"/>
        <v>36</v>
      </c>
    </row>
    <row r="53" spans="1:17" x14ac:dyDescent="0.3">
      <c r="A53" s="20" t="s">
        <v>89</v>
      </c>
      <c r="B53" s="20">
        <v>320263</v>
      </c>
      <c r="C53" s="32">
        <v>42888</v>
      </c>
      <c r="D53" s="20" t="s">
        <v>255</v>
      </c>
      <c r="E53" s="20">
        <v>20</v>
      </c>
      <c r="F53" s="20">
        <v>20</v>
      </c>
      <c r="G53" s="20">
        <v>21</v>
      </c>
      <c r="H53" s="20">
        <v>22</v>
      </c>
      <c r="I53" s="20">
        <v>22</v>
      </c>
      <c r="J53" s="20">
        <v>23</v>
      </c>
      <c r="K53" s="20">
        <v>23</v>
      </c>
      <c r="L53" s="20">
        <v>23</v>
      </c>
      <c r="M53" s="20">
        <v>23</v>
      </c>
      <c r="N53" s="20">
        <v>23</v>
      </c>
      <c r="O53" s="20">
        <v>23</v>
      </c>
      <c r="Q53">
        <f t="shared" si="0"/>
        <v>223</v>
      </c>
    </row>
    <row r="54" spans="1:17" x14ac:dyDescent="0.3">
      <c r="A54" s="20" t="s">
        <v>89</v>
      </c>
      <c r="B54" s="20">
        <v>319842</v>
      </c>
      <c r="C54" s="32">
        <v>42888</v>
      </c>
      <c r="D54" s="20" t="s">
        <v>255</v>
      </c>
      <c r="E54" s="20">
        <v>6</v>
      </c>
      <c r="F54" s="20">
        <v>6</v>
      </c>
      <c r="G54" s="20">
        <v>7</v>
      </c>
      <c r="H54" s="20">
        <v>12</v>
      </c>
      <c r="I54" s="20">
        <v>19</v>
      </c>
      <c r="J54" s="20">
        <v>23</v>
      </c>
      <c r="K54" s="20">
        <v>24</v>
      </c>
      <c r="L54" s="20">
        <v>25</v>
      </c>
      <c r="M54" s="20">
        <v>25</v>
      </c>
      <c r="N54" s="20">
        <v>25</v>
      </c>
      <c r="O54" s="20">
        <v>25</v>
      </c>
      <c r="Q54">
        <f t="shared" si="0"/>
        <v>191</v>
      </c>
    </row>
    <row r="55" spans="1:17" x14ac:dyDescent="0.3">
      <c r="A55" s="20" t="s">
        <v>89</v>
      </c>
      <c r="B55" s="20">
        <v>319846</v>
      </c>
      <c r="C55" s="32">
        <v>42888</v>
      </c>
      <c r="D55" s="20" t="s">
        <v>261</v>
      </c>
      <c r="E55" s="20">
        <v>1</v>
      </c>
      <c r="F55" s="20">
        <v>1</v>
      </c>
      <c r="G55" s="20">
        <v>1</v>
      </c>
      <c r="H55" s="20">
        <v>2</v>
      </c>
      <c r="I55" s="20">
        <v>2</v>
      </c>
      <c r="J55" s="20">
        <v>2</v>
      </c>
      <c r="K55" s="20">
        <v>2</v>
      </c>
      <c r="L55" s="20">
        <v>2</v>
      </c>
      <c r="M55" s="20">
        <v>2</v>
      </c>
      <c r="N55" s="20">
        <v>2</v>
      </c>
      <c r="O55" s="20">
        <v>2</v>
      </c>
      <c r="Q55">
        <f t="shared" si="0"/>
        <v>18</v>
      </c>
    </row>
    <row r="56" spans="1:17" x14ac:dyDescent="0.3">
      <c r="A56" s="20" t="s">
        <v>89</v>
      </c>
      <c r="B56" s="20">
        <v>320518</v>
      </c>
      <c r="C56" s="32">
        <v>42888</v>
      </c>
      <c r="D56" s="20" t="s">
        <v>253</v>
      </c>
      <c r="E56" s="20">
        <v>105</v>
      </c>
      <c r="F56" s="20">
        <v>105</v>
      </c>
      <c r="G56" s="20">
        <v>108</v>
      </c>
      <c r="H56" s="20">
        <v>110</v>
      </c>
      <c r="I56" s="20">
        <v>110</v>
      </c>
      <c r="J56" s="20">
        <v>110</v>
      </c>
      <c r="K56" s="20">
        <v>110</v>
      </c>
      <c r="L56" s="20">
        <v>110</v>
      </c>
      <c r="M56" s="20">
        <v>110</v>
      </c>
      <c r="N56" s="20">
        <v>110</v>
      </c>
      <c r="O56" s="20">
        <v>110</v>
      </c>
      <c r="Q56">
        <f t="shared" si="0"/>
        <v>1093</v>
      </c>
    </row>
    <row r="57" spans="1:17" x14ac:dyDescent="0.3">
      <c r="A57" s="20" t="s">
        <v>89</v>
      </c>
      <c r="B57" s="20">
        <v>318951</v>
      </c>
      <c r="C57" s="32">
        <v>42888</v>
      </c>
      <c r="D57" s="20" t="s">
        <v>255</v>
      </c>
      <c r="E57" s="20">
        <v>6</v>
      </c>
      <c r="F57" s="20">
        <v>6</v>
      </c>
      <c r="G57" s="20">
        <v>8</v>
      </c>
      <c r="H57" s="20">
        <v>13</v>
      </c>
      <c r="I57" s="20">
        <v>17</v>
      </c>
      <c r="J57" s="20">
        <v>22</v>
      </c>
      <c r="K57" s="20">
        <v>24</v>
      </c>
      <c r="L57" s="20">
        <v>26</v>
      </c>
      <c r="M57" s="20">
        <v>26</v>
      </c>
      <c r="N57" s="20">
        <v>26</v>
      </c>
      <c r="O57" s="20">
        <v>26</v>
      </c>
      <c r="Q57">
        <f t="shared" si="0"/>
        <v>194</v>
      </c>
    </row>
    <row r="58" spans="1:17" x14ac:dyDescent="0.3">
      <c r="A58" s="20" t="s">
        <v>89</v>
      </c>
      <c r="B58" s="20">
        <v>317447</v>
      </c>
      <c r="C58" s="32">
        <v>42887</v>
      </c>
      <c r="D58" s="20" t="s">
        <v>257</v>
      </c>
      <c r="E58" s="20">
        <v>1</v>
      </c>
      <c r="F58" s="20">
        <v>1</v>
      </c>
      <c r="G58" s="20">
        <v>1</v>
      </c>
      <c r="H58" s="20">
        <v>2</v>
      </c>
      <c r="I58" s="20">
        <v>2</v>
      </c>
      <c r="J58" s="20">
        <v>4</v>
      </c>
      <c r="K58" s="20">
        <v>4</v>
      </c>
      <c r="L58" s="20">
        <v>4</v>
      </c>
      <c r="M58" s="20">
        <v>4</v>
      </c>
      <c r="N58" s="20">
        <v>4</v>
      </c>
      <c r="O58" s="20">
        <v>4</v>
      </c>
      <c r="Q58">
        <f t="shared" si="0"/>
        <v>30</v>
      </c>
    </row>
    <row r="59" spans="1:17" x14ac:dyDescent="0.3">
      <c r="A59" s="20" t="s">
        <v>89</v>
      </c>
      <c r="B59" s="20">
        <v>316438</v>
      </c>
      <c r="C59" s="32">
        <v>42887</v>
      </c>
      <c r="D59" s="20" t="s">
        <v>253</v>
      </c>
      <c r="E59" s="20">
        <v>135</v>
      </c>
      <c r="F59" s="20">
        <v>135</v>
      </c>
      <c r="G59" s="20">
        <v>150</v>
      </c>
      <c r="H59" s="20">
        <v>155</v>
      </c>
      <c r="I59" s="20">
        <v>155</v>
      </c>
      <c r="J59" s="20">
        <v>155</v>
      </c>
      <c r="K59" s="20">
        <v>155</v>
      </c>
      <c r="L59" s="20">
        <v>155</v>
      </c>
      <c r="M59" s="20">
        <v>155</v>
      </c>
      <c r="N59" s="20">
        <v>155</v>
      </c>
      <c r="O59" s="20">
        <v>155</v>
      </c>
      <c r="Q59">
        <f t="shared" si="0"/>
        <v>1525</v>
      </c>
    </row>
    <row r="60" spans="1:17" x14ac:dyDescent="0.3">
      <c r="A60" s="20" t="s">
        <v>89</v>
      </c>
      <c r="B60" s="20">
        <v>316439</v>
      </c>
      <c r="C60" s="32">
        <v>42887</v>
      </c>
      <c r="D60" s="20" t="s">
        <v>255</v>
      </c>
      <c r="E60" s="20">
        <v>24</v>
      </c>
      <c r="F60" s="20">
        <v>24</v>
      </c>
      <c r="G60" s="20">
        <v>25</v>
      </c>
      <c r="H60" s="20">
        <v>28</v>
      </c>
      <c r="I60" s="20">
        <v>30</v>
      </c>
      <c r="J60" s="20">
        <v>30</v>
      </c>
      <c r="K60" s="20">
        <v>30</v>
      </c>
      <c r="L60" s="20">
        <v>30</v>
      </c>
      <c r="M60" s="20">
        <v>30</v>
      </c>
      <c r="N60" s="20">
        <v>30</v>
      </c>
      <c r="O60" s="20">
        <v>30</v>
      </c>
      <c r="Q60">
        <f t="shared" si="0"/>
        <v>287</v>
      </c>
    </row>
    <row r="61" spans="1:17" x14ac:dyDescent="0.3">
      <c r="A61" s="20" t="s">
        <v>89</v>
      </c>
      <c r="B61" s="20">
        <v>316441</v>
      </c>
      <c r="C61" s="32">
        <v>42887</v>
      </c>
      <c r="D61" s="20" t="s">
        <v>256</v>
      </c>
      <c r="E61" s="20">
        <v>2</v>
      </c>
      <c r="F61" s="20">
        <v>3</v>
      </c>
      <c r="G61" s="20">
        <v>3</v>
      </c>
      <c r="H61" s="20">
        <v>3</v>
      </c>
      <c r="I61" s="20">
        <v>3</v>
      </c>
      <c r="J61" s="20">
        <v>3</v>
      </c>
      <c r="K61" s="20">
        <v>3</v>
      </c>
      <c r="L61" s="20">
        <v>3</v>
      </c>
      <c r="M61" s="20">
        <v>3</v>
      </c>
      <c r="N61" s="20">
        <v>3</v>
      </c>
      <c r="O61" s="20">
        <v>3</v>
      </c>
      <c r="Q61">
        <f t="shared" si="0"/>
        <v>30</v>
      </c>
    </row>
    <row r="62" spans="1:17" x14ac:dyDescent="0.3">
      <c r="A62" s="20" t="s">
        <v>89</v>
      </c>
      <c r="B62" s="20">
        <v>317998</v>
      </c>
      <c r="C62" s="32">
        <v>42887</v>
      </c>
      <c r="D62" s="20" t="s">
        <v>258</v>
      </c>
      <c r="E62" s="20">
        <v>1</v>
      </c>
      <c r="F62" s="20">
        <v>1</v>
      </c>
      <c r="G62" s="20">
        <v>2</v>
      </c>
      <c r="H62" s="20">
        <v>2</v>
      </c>
      <c r="I62" s="20">
        <v>2</v>
      </c>
      <c r="J62" s="20">
        <v>2</v>
      </c>
      <c r="K62" s="20">
        <v>2</v>
      </c>
      <c r="L62" s="20">
        <v>2</v>
      </c>
      <c r="M62" s="20">
        <v>2</v>
      </c>
      <c r="N62" s="20">
        <v>2</v>
      </c>
      <c r="O62" s="20">
        <v>2</v>
      </c>
      <c r="Q62">
        <f t="shared" si="0"/>
        <v>19</v>
      </c>
    </row>
    <row r="63" spans="1:17" x14ac:dyDescent="0.3">
      <c r="A63" s="20" t="s">
        <v>89</v>
      </c>
      <c r="B63" s="20">
        <v>316588</v>
      </c>
      <c r="C63" s="32">
        <v>42887</v>
      </c>
      <c r="D63" s="20" t="s">
        <v>255</v>
      </c>
      <c r="E63" s="20">
        <v>23</v>
      </c>
      <c r="F63" s="20">
        <v>23</v>
      </c>
      <c r="G63" s="20">
        <v>25</v>
      </c>
      <c r="H63" s="20">
        <v>27</v>
      </c>
      <c r="I63" s="20">
        <v>27</v>
      </c>
      <c r="J63" s="20">
        <v>27</v>
      </c>
      <c r="K63" s="20">
        <v>27</v>
      </c>
      <c r="L63" s="20">
        <v>27</v>
      </c>
      <c r="M63" s="20">
        <v>27</v>
      </c>
      <c r="N63" s="20">
        <v>27</v>
      </c>
      <c r="O63" s="20">
        <v>27</v>
      </c>
      <c r="Q63">
        <f t="shared" si="0"/>
        <v>264</v>
      </c>
    </row>
    <row r="64" spans="1:17" x14ac:dyDescent="0.3">
      <c r="A64" s="20" t="s">
        <v>89</v>
      </c>
      <c r="B64" s="20">
        <v>316630</v>
      </c>
      <c r="C64" s="32">
        <v>42887</v>
      </c>
      <c r="D64" s="20" t="s">
        <v>258</v>
      </c>
      <c r="E64" s="20">
        <v>4</v>
      </c>
      <c r="F64" s="20">
        <v>4</v>
      </c>
      <c r="G64" s="20">
        <v>5</v>
      </c>
      <c r="H64" s="20">
        <v>5</v>
      </c>
      <c r="I64" s="20">
        <v>5</v>
      </c>
      <c r="J64" s="20">
        <v>5</v>
      </c>
      <c r="K64" s="20">
        <v>5</v>
      </c>
      <c r="L64" s="20">
        <v>5</v>
      </c>
      <c r="M64" s="20">
        <v>5</v>
      </c>
      <c r="N64" s="20">
        <v>5</v>
      </c>
      <c r="O64" s="20">
        <v>5</v>
      </c>
      <c r="Q64">
        <f t="shared" si="0"/>
        <v>49</v>
      </c>
    </row>
    <row r="65" spans="1:17" x14ac:dyDescent="0.3">
      <c r="A65" s="20" t="s">
        <v>89</v>
      </c>
      <c r="B65" s="20">
        <v>311919</v>
      </c>
      <c r="C65" s="32">
        <v>42887</v>
      </c>
      <c r="D65" s="20" t="s">
        <v>255</v>
      </c>
      <c r="E65" s="20">
        <v>29</v>
      </c>
      <c r="F65" s="20">
        <v>29</v>
      </c>
      <c r="G65" s="20">
        <v>30</v>
      </c>
      <c r="H65" s="20">
        <v>30</v>
      </c>
      <c r="I65" s="20">
        <v>30</v>
      </c>
      <c r="J65" s="20">
        <v>30</v>
      </c>
      <c r="K65" s="20">
        <v>30</v>
      </c>
      <c r="L65" s="20">
        <v>30</v>
      </c>
      <c r="M65" s="20">
        <v>30</v>
      </c>
      <c r="N65" s="20">
        <v>30</v>
      </c>
      <c r="O65" s="20">
        <v>30</v>
      </c>
      <c r="Q65">
        <f t="shared" si="0"/>
        <v>299</v>
      </c>
    </row>
    <row r="66" spans="1:17" x14ac:dyDescent="0.3">
      <c r="A66" s="20" t="s">
        <v>89</v>
      </c>
      <c r="B66" s="20">
        <v>311927</v>
      </c>
      <c r="C66" s="32">
        <v>42887</v>
      </c>
      <c r="D66" s="20" t="s">
        <v>263</v>
      </c>
      <c r="E66" s="20">
        <v>1</v>
      </c>
      <c r="F66" s="20">
        <v>2</v>
      </c>
      <c r="G66" s="20">
        <v>2</v>
      </c>
      <c r="H66" s="20">
        <v>2</v>
      </c>
      <c r="I66" s="20">
        <v>2</v>
      </c>
      <c r="J66" s="20">
        <v>2</v>
      </c>
      <c r="K66" s="20">
        <v>2</v>
      </c>
      <c r="L66" s="20">
        <v>2</v>
      </c>
      <c r="M66" s="20">
        <v>2</v>
      </c>
      <c r="N66" s="20">
        <v>2</v>
      </c>
      <c r="O66" s="20">
        <v>2</v>
      </c>
      <c r="Q66">
        <f t="shared" si="0"/>
        <v>20</v>
      </c>
    </row>
    <row r="67" spans="1:17" x14ac:dyDescent="0.3">
      <c r="A67" s="20" t="s">
        <v>89</v>
      </c>
      <c r="B67" s="20">
        <v>312509</v>
      </c>
      <c r="C67" s="32">
        <v>42887</v>
      </c>
      <c r="D67" s="20" t="s">
        <v>253</v>
      </c>
      <c r="E67" s="20">
        <v>17</v>
      </c>
      <c r="F67" s="20">
        <v>17</v>
      </c>
      <c r="G67" s="20">
        <v>17</v>
      </c>
      <c r="H67" s="20">
        <v>37</v>
      </c>
      <c r="I67" s="20">
        <v>43</v>
      </c>
      <c r="J67" s="20">
        <v>88</v>
      </c>
      <c r="K67" s="20">
        <v>113</v>
      </c>
      <c r="L67" s="20">
        <v>122</v>
      </c>
      <c r="M67" s="20">
        <v>122</v>
      </c>
      <c r="N67" s="20">
        <v>122</v>
      </c>
      <c r="O67" s="20">
        <v>122</v>
      </c>
      <c r="Q67">
        <f t="shared" ref="Q67:Q130" si="1">SUM(F67:O67)</f>
        <v>803</v>
      </c>
    </row>
    <row r="68" spans="1:17" x14ac:dyDescent="0.3">
      <c r="A68" s="20" t="s">
        <v>89</v>
      </c>
      <c r="B68" s="20">
        <v>312510</v>
      </c>
      <c r="C68" s="32">
        <v>42887</v>
      </c>
      <c r="D68" s="20" t="s">
        <v>255</v>
      </c>
      <c r="E68" s="20">
        <v>16</v>
      </c>
      <c r="F68" s="20">
        <v>16</v>
      </c>
      <c r="G68" s="20">
        <v>17</v>
      </c>
      <c r="H68" s="20">
        <v>20</v>
      </c>
      <c r="I68" s="20">
        <v>21</v>
      </c>
      <c r="J68" s="20">
        <v>21</v>
      </c>
      <c r="K68" s="20">
        <v>21</v>
      </c>
      <c r="L68" s="20">
        <v>21</v>
      </c>
      <c r="M68" s="20">
        <v>21</v>
      </c>
      <c r="N68" s="20">
        <v>21</v>
      </c>
      <c r="O68" s="20">
        <v>21</v>
      </c>
      <c r="Q68">
        <f t="shared" si="1"/>
        <v>200</v>
      </c>
    </row>
    <row r="69" spans="1:17" x14ac:dyDescent="0.3">
      <c r="A69" s="20" t="s">
        <v>89</v>
      </c>
      <c r="B69" s="20">
        <v>311361</v>
      </c>
      <c r="C69" s="32">
        <v>42887</v>
      </c>
      <c r="D69" s="20" t="s">
        <v>253</v>
      </c>
      <c r="E69" s="20">
        <v>19</v>
      </c>
      <c r="F69" s="20">
        <v>19</v>
      </c>
      <c r="G69" s="20">
        <v>24</v>
      </c>
      <c r="H69" s="20">
        <v>67</v>
      </c>
      <c r="I69" s="20">
        <v>113</v>
      </c>
      <c r="J69" s="20">
        <v>129</v>
      </c>
      <c r="K69" s="20">
        <v>148</v>
      </c>
      <c r="L69" s="20">
        <v>156</v>
      </c>
      <c r="M69" s="20">
        <v>156</v>
      </c>
      <c r="N69" s="20">
        <v>156</v>
      </c>
      <c r="O69" s="20">
        <v>156</v>
      </c>
      <c r="Q69">
        <f t="shared" si="1"/>
        <v>1124</v>
      </c>
    </row>
    <row r="70" spans="1:17" x14ac:dyDescent="0.3">
      <c r="A70" s="20" t="s">
        <v>89</v>
      </c>
      <c r="B70" s="20">
        <v>311362</v>
      </c>
      <c r="C70" s="32">
        <v>42887</v>
      </c>
      <c r="D70" s="20" t="s">
        <v>255</v>
      </c>
      <c r="E70" s="20">
        <v>10</v>
      </c>
      <c r="F70" s="20">
        <v>10</v>
      </c>
      <c r="G70" s="20">
        <v>11</v>
      </c>
      <c r="H70" s="20">
        <v>11</v>
      </c>
      <c r="I70" s="20">
        <v>11</v>
      </c>
      <c r="J70" s="20">
        <v>13</v>
      </c>
      <c r="K70" s="20">
        <v>15</v>
      </c>
      <c r="L70" s="20">
        <v>16</v>
      </c>
      <c r="M70" s="20">
        <v>16</v>
      </c>
      <c r="N70" s="20">
        <v>17</v>
      </c>
      <c r="O70" s="20">
        <v>17</v>
      </c>
      <c r="Q70">
        <f t="shared" si="1"/>
        <v>137</v>
      </c>
    </row>
    <row r="71" spans="1:17" x14ac:dyDescent="0.3">
      <c r="A71" s="20" t="s">
        <v>89</v>
      </c>
      <c r="B71" s="20">
        <v>312003</v>
      </c>
      <c r="C71" s="32">
        <v>42887</v>
      </c>
      <c r="D71" s="20" t="s">
        <v>253</v>
      </c>
      <c r="E71" s="20">
        <v>122</v>
      </c>
      <c r="F71" s="20">
        <v>122</v>
      </c>
      <c r="G71" s="20">
        <v>145</v>
      </c>
      <c r="H71" s="20">
        <v>158</v>
      </c>
      <c r="I71" s="20">
        <v>158</v>
      </c>
      <c r="J71" s="20">
        <v>158</v>
      </c>
      <c r="K71" s="20">
        <v>158</v>
      </c>
      <c r="L71" s="20">
        <v>158</v>
      </c>
      <c r="M71" s="20">
        <v>158</v>
      </c>
      <c r="N71" s="20">
        <v>158</v>
      </c>
      <c r="O71" s="20">
        <v>158</v>
      </c>
      <c r="Q71">
        <f t="shared" si="1"/>
        <v>1531</v>
      </c>
    </row>
    <row r="72" spans="1:17" x14ac:dyDescent="0.3">
      <c r="A72" s="20" t="s">
        <v>89</v>
      </c>
      <c r="B72" s="20">
        <v>312004</v>
      </c>
      <c r="C72" s="32">
        <v>42887</v>
      </c>
      <c r="D72" s="20" t="s">
        <v>255</v>
      </c>
      <c r="E72" s="20">
        <v>19</v>
      </c>
      <c r="F72" s="20">
        <v>19</v>
      </c>
      <c r="G72" s="20">
        <v>20</v>
      </c>
      <c r="H72" s="20">
        <v>22</v>
      </c>
      <c r="I72" s="20">
        <v>22</v>
      </c>
      <c r="J72" s="20">
        <v>22</v>
      </c>
      <c r="K72" s="20">
        <v>22</v>
      </c>
      <c r="L72" s="20">
        <v>22</v>
      </c>
      <c r="M72" s="20">
        <v>22</v>
      </c>
      <c r="N72" s="20">
        <v>22</v>
      </c>
      <c r="O72" s="20">
        <v>22</v>
      </c>
      <c r="Q72">
        <f t="shared" si="1"/>
        <v>215</v>
      </c>
    </row>
    <row r="73" spans="1:17" x14ac:dyDescent="0.3">
      <c r="A73" s="20" t="s">
        <v>89</v>
      </c>
      <c r="B73" s="20">
        <v>312005</v>
      </c>
      <c r="C73" s="32">
        <v>42887</v>
      </c>
      <c r="D73" s="20" t="s">
        <v>256</v>
      </c>
      <c r="E73" s="20">
        <v>2</v>
      </c>
      <c r="F73" s="20">
        <v>2</v>
      </c>
      <c r="G73" s="20">
        <v>2</v>
      </c>
      <c r="H73" s="20">
        <v>3</v>
      </c>
      <c r="I73" s="20">
        <v>4</v>
      </c>
      <c r="J73" s="20">
        <v>4</v>
      </c>
      <c r="K73" s="20">
        <v>4</v>
      </c>
      <c r="L73" s="20">
        <v>4</v>
      </c>
      <c r="M73" s="20">
        <v>4</v>
      </c>
      <c r="N73" s="20">
        <v>4</v>
      </c>
      <c r="O73" s="20">
        <v>4</v>
      </c>
      <c r="Q73">
        <f t="shared" si="1"/>
        <v>35</v>
      </c>
    </row>
    <row r="74" spans="1:17" x14ac:dyDescent="0.3">
      <c r="A74" s="20" t="s">
        <v>89</v>
      </c>
      <c r="B74" s="20">
        <v>310903</v>
      </c>
      <c r="C74" s="32">
        <v>42887</v>
      </c>
      <c r="D74" s="20" t="s">
        <v>256</v>
      </c>
      <c r="E74" s="20">
        <v>1</v>
      </c>
      <c r="F74" s="20">
        <v>1</v>
      </c>
      <c r="G74" s="20">
        <v>2</v>
      </c>
      <c r="H74" s="20">
        <v>2</v>
      </c>
      <c r="I74" s="20">
        <v>2</v>
      </c>
      <c r="J74" s="20">
        <v>2</v>
      </c>
      <c r="K74" s="20">
        <v>2</v>
      </c>
      <c r="L74" s="20">
        <v>2</v>
      </c>
      <c r="M74" s="20">
        <v>2</v>
      </c>
      <c r="N74" s="20">
        <v>2</v>
      </c>
      <c r="O74" s="20">
        <v>2</v>
      </c>
      <c r="Q74">
        <f t="shared" si="1"/>
        <v>19</v>
      </c>
    </row>
    <row r="75" spans="1:17" x14ac:dyDescent="0.3">
      <c r="A75" s="20" t="s">
        <v>89</v>
      </c>
      <c r="B75" s="20">
        <v>311458</v>
      </c>
      <c r="C75" s="32">
        <v>42887</v>
      </c>
      <c r="D75" s="20" t="s">
        <v>253</v>
      </c>
      <c r="E75" s="20">
        <v>157</v>
      </c>
      <c r="F75" s="20">
        <v>157</v>
      </c>
      <c r="G75" s="20">
        <v>159</v>
      </c>
      <c r="H75" s="20">
        <v>159</v>
      </c>
      <c r="I75" s="20">
        <v>159</v>
      </c>
      <c r="J75" s="20">
        <v>159</v>
      </c>
      <c r="K75" s="20">
        <v>159</v>
      </c>
      <c r="L75" s="20">
        <v>159</v>
      </c>
      <c r="M75" s="20">
        <v>159</v>
      </c>
      <c r="N75" s="20">
        <v>159</v>
      </c>
      <c r="O75" s="20">
        <v>159</v>
      </c>
      <c r="Q75">
        <f t="shared" si="1"/>
        <v>1588</v>
      </c>
    </row>
    <row r="76" spans="1:17" x14ac:dyDescent="0.3">
      <c r="A76" s="20" t="s">
        <v>89</v>
      </c>
      <c r="B76" s="20">
        <v>311462</v>
      </c>
      <c r="C76" s="32">
        <v>42887</v>
      </c>
      <c r="D76" s="20" t="s">
        <v>258</v>
      </c>
      <c r="E76" s="20">
        <v>1</v>
      </c>
      <c r="F76" s="20">
        <v>1</v>
      </c>
      <c r="G76" s="20">
        <v>2</v>
      </c>
      <c r="H76" s="20">
        <v>5</v>
      </c>
      <c r="I76" s="20">
        <v>5</v>
      </c>
      <c r="J76" s="20">
        <v>6</v>
      </c>
      <c r="K76" s="20">
        <v>6</v>
      </c>
      <c r="L76" s="20">
        <v>6</v>
      </c>
      <c r="M76" s="20">
        <v>6</v>
      </c>
      <c r="N76" s="20">
        <v>6</v>
      </c>
      <c r="O76" s="20">
        <v>6</v>
      </c>
      <c r="Q76">
        <f t="shared" si="1"/>
        <v>49</v>
      </c>
    </row>
    <row r="77" spans="1:17" x14ac:dyDescent="0.3">
      <c r="A77" s="20" t="s">
        <v>89</v>
      </c>
      <c r="B77" s="20">
        <v>310587</v>
      </c>
      <c r="C77" s="32">
        <v>42887</v>
      </c>
      <c r="D77" s="20" t="s">
        <v>255</v>
      </c>
      <c r="E77" s="20">
        <v>9</v>
      </c>
      <c r="F77" s="20">
        <v>9</v>
      </c>
      <c r="G77" s="20">
        <v>12</v>
      </c>
      <c r="H77" s="20">
        <v>17</v>
      </c>
      <c r="I77" s="20">
        <v>18</v>
      </c>
      <c r="J77" s="20">
        <v>20</v>
      </c>
      <c r="K77" s="20">
        <v>21</v>
      </c>
      <c r="L77" s="20">
        <v>27</v>
      </c>
      <c r="M77" s="20">
        <v>30</v>
      </c>
      <c r="N77" s="20">
        <v>32</v>
      </c>
      <c r="O77" s="20">
        <v>34</v>
      </c>
      <c r="Q77">
        <f t="shared" si="1"/>
        <v>220</v>
      </c>
    </row>
    <row r="78" spans="1:17" x14ac:dyDescent="0.3">
      <c r="A78" s="20" t="s">
        <v>89</v>
      </c>
      <c r="B78" s="20">
        <v>311555</v>
      </c>
      <c r="C78" s="32">
        <v>42887</v>
      </c>
      <c r="D78" s="20" t="s">
        <v>255</v>
      </c>
      <c r="E78" s="20">
        <v>23</v>
      </c>
      <c r="F78" s="20">
        <v>23</v>
      </c>
      <c r="G78" s="20">
        <v>24</v>
      </c>
      <c r="H78" s="20">
        <v>26</v>
      </c>
      <c r="I78" s="20">
        <v>26</v>
      </c>
      <c r="J78" s="20">
        <v>26</v>
      </c>
      <c r="K78" s="20">
        <v>26</v>
      </c>
      <c r="L78" s="20">
        <v>26</v>
      </c>
      <c r="M78" s="20">
        <v>26</v>
      </c>
      <c r="N78" s="20">
        <v>26</v>
      </c>
      <c r="O78" s="20">
        <v>26</v>
      </c>
      <c r="Q78">
        <f t="shared" si="1"/>
        <v>255</v>
      </c>
    </row>
    <row r="79" spans="1:17" x14ac:dyDescent="0.3">
      <c r="A79" s="20" t="s">
        <v>89</v>
      </c>
      <c r="B79" s="20">
        <v>311558</v>
      </c>
      <c r="C79" s="32">
        <v>42887</v>
      </c>
      <c r="D79" s="20" t="s">
        <v>257</v>
      </c>
      <c r="E79" s="20">
        <v>1</v>
      </c>
      <c r="F79" s="20">
        <v>1</v>
      </c>
      <c r="G79" s="20">
        <v>1</v>
      </c>
      <c r="H79" s="20">
        <v>2</v>
      </c>
      <c r="I79" s="20">
        <v>2</v>
      </c>
      <c r="J79" s="20">
        <v>2</v>
      </c>
      <c r="K79" s="20">
        <v>2</v>
      </c>
      <c r="L79" s="20">
        <v>2</v>
      </c>
      <c r="M79" s="20">
        <v>2</v>
      </c>
      <c r="N79" s="20">
        <v>2</v>
      </c>
      <c r="O79" s="20">
        <v>2</v>
      </c>
      <c r="Q79">
        <f t="shared" si="1"/>
        <v>18</v>
      </c>
    </row>
    <row r="80" spans="1:17" x14ac:dyDescent="0.3">
      <c r="A80" s="20" t="s">
        <v>89</v>
      </c>
      <c r="B80" s="20">
        <v>311562</v>
      </c>
      <c r="C80" s="32">
        <v>42887</v>
      </c>
      <c r="D80" s="20" t="s">
        <v>258</v>
      </c>
      <c r="E80" s="20">
        <v>2</v>
      </c>
      <c r="F80" s="20">
        <v>2</v>
      </c>
      <c r="G80" s="20">
        <v>2</v>
      </c>
      <c r="H80" s="20">
        <v>3</v>
      </c>
      <c r="I80" s="20">
        <v>4</v>
      </c>
      <c r="J80" s="20">
        <v>4</v>
      </c>
      <c r="K80" s="20">
        <v>4</v>
      </c>
      <c r="L80" s="20">
        <v>4</v>
      </c>
      <c r="M80" s="20">
        <v>4</v>
      </c>
      <c r="N80" s="20">
        <v>4</v>
      </c>
      <c r="O80" s="20">
        <v>4</v>
      </c>
      <c r="Q80">
        <f t="shared" si="1"/>
        <v>35</v>
      </c>
    </row>
    <row r="81" spans="1:17" x14ac:dyDescent="0.3">
      <c r="A81" s="20" t="s">
        <v>89</v>
      </c>
      <c r="B81" s="20">
        <v>315341</v>
      </c>
      <c r="C81" s="32">
        <v>42887</v>
      </c>
      <c r="D81" s="20" t="s">
        <v>253</v>
      </c>
      <c r="E81" s="20">
        <v>133</v>
      </c>
      <c r="F81" s="20">
        <v>133</v>
      </c>
      <c r="G81" s="20">
        <v>137</v>
      </c>
      <c r="H81" s="20">
        <v>140</v>
      </c>
      <c r="I81" s="20">
        <v>140</v>
      </c>
      <c r="J81" s="20">
        <v>140</v>
      </c>
      <c r="K81" s="20">
        <v>140</v>
      </c>
      <c r="L81" s="20">
        <v>140</v>
      </c>
      <c r="M81" s="20">
        <v>140</v>
      </c>
      <c r="N81" s="20">
        <v>140</v>
      </c>
      <c r="O81" s="20">
        <v>140</v>
      </c>
      <c r="Q81">
        <f t="shared" si="1"/>
        <v>1390</v>
      </c>
    </row>
    <row r="82" spans="1:17" x14ac:dyDescent="0.3">
      <c r="A82" s="20" t="s">
        <v>89</v>
      </c>
      <c r="B82" s="20">
        <v>315342</v>
      </c>
      <c r="C82" s="32">
        <v>42887</v>
      </c>
      <c r="D82" s="20" t="s">
        <v>255</v>
      </c>
      <c r="E82" s="20">
        <v>12</v>
      </c>
      <c r="F82" s="20">
        <v>12</v>
      </c>
      <c r="G82" s="20">
        <v>15</v>
      </c>
      <c r="H82" s="20">
        <v>16</v>
      </c>
      <c r="I82" s="20">
        <v>16</v>
      </c>
      <c r="J82" s="20">
        <v>16</v>
      </c>
      <c r="K82" s="20">
        <v>16</v>
      </c>
      <c r="L82" s="20">
        <v>16</v>
      </c>
      <c r="M82" s="20">
        <v>16</v>
      </c>
      <c r="N82" s="20">
        <v>16</v>
      </c>
      <c r="O82" s="20">
        <v>16</v>
      </c>
      <c r="Q82">
        <f t="shared" si="1"/>
        <v>155</v>
      </c>
    </row>
    <row r="83" spans="1:17" x14ac:dyDescent="0.3">
      <c r="A83" s="20" t="s">
        <v>89</v>
      </c>
      <c r="B83" s="20">
        <v>315345</v>
      </c>
      <c r="C83" s="32">
        <v>42887</v>
      </c>
      <c r="D83" s="20" t="s">
        <v>257</v>
      </c>
      <c r="E83" s="20">
        <v>1</v>
      </c>
      <c r="F83" s="20">
        <v>1</v>
      </c>
      <c r="G83" s="20">
        <v>1</v>
      </c>
      <c r="H83" s="20">
        <v>2</v>
      </c>
      <c r="I83" s="20">
        <v>2</v>
      </c>
      <c r="J83" s="20">
        <v>2</v>
      </c>
      <c r="K83" s="20">
        <v>2</v>
      </c>
      <c r="L83" s="20">
        <v>2</v>
      </c>
      <c r="M83" s="20">
        <v>2</v>
      </c>
      <c r="N83" s="20">
        <v>2</v>
      </c>
      <c r="O83" s="20">
        <v>2</v>
      </c>
      <c r="Q83">
        <f t="shared" si="1"/>
        <v>18</v>
      </c>
    </row>
    <row r="84" spans="1:17" x14ac:dyDescent="0.3">
      <c r="A84" s="20" t="s">
        <v>89</v>
      </c>
      <c r="B84" s="20">
        <v>315350</v>
      </c>
      <c r="C84" s="32">
        <v>42887</v>
      </c>
      <c r="D84" s="20" t="s">
        <v>259</v>
      </c>
      <c r="E84" s="20">
        <v>1</v>
      </c>
      <c r="F84" s="20">
        <v>1</v>
      </c>
      <c r="G84" s="20">
        <v>2</v>
      </c>
      <c r="H84" s="20">
        <v>2</v>
      </c>
      <c r="I84" s="20">
        <v>2</v>
      </c>
      <c r="J84" s="20">
        <v>2</v>
      </c>
      <c r="K84" s="20">
        <v>2</v>
      </c>
      <c r="L84" s="20">
        <v>2</v>
      </c>
      <c r="M84" s="20">
        <v>2</v>
      </c>
      <c r="N84" s="20">
        <v>2</v>
      </c>
      <c r="O84" s="20">
        <v>2</v>
      </c>
      <c r="Q84">
        <f t="shared" si="1"/>
        <v>19</v>
      </c>
    </row>
    <row r="85" spans="1:17" x14ac:dyDescent="0.3">
      <c r="A85" s="20" t="s">
        <v>89</v>
      </c>
      <c r="B85" s="20">
        <v>315362</v>
      </c>
      <c r="C85" s="32">
        <v>42887</v>
      </c>
      <c r="D85" s="20" t="s">
        <v>255</v>
      </c>
      <c r="E85" s="20">
        <v>19</v>
      </c>
      <c r="F85" s="20">
        <v>19</v>
      </c>
      <c r="G85" s="20">
        <v>20</v>
      </c>
      <c r="H85" s="20">
        <v>20</v>
      </c>
      <c r="I85" s="20">
        <v>20</v>
      </c>
      <c r="J85" s="20">
        <v>20</v>
      </c>
      <c r="K85" s="20">
        <v>20</v>
      </c>
      <c r="L85" s="20">
        <v>20</v>
      </c>
      <c r="M85" s="20">
        <v>20</v>
      </c>
      <c r="N85" s="20">
        <v>20</v>
      </c>
      <c r="O85" s="20">
        <v>20</v>
      </c>
      <c r="Q85">
        <f t="shared" si="1"/>
        <v>199</v>
      </c>
    </row>
    <row r="86" spans="1:17" x14ac:dyDescent="0.3">
      <c r="A86" s="20" t="s">
        <v>89</v>
      </c>
      <c r="B86" s="20">
        <v>316171</v>
      </c>
      <c r="C86" s="32">
        <v>42887</v>
      </c>
      <c r="D86" s="20" t="s">
        <v>255</v>
      </c>
      <c r="E86" s="20">
        <v>23</v>
      </c>
      <c r="F86" s="20">
        <v>23</v>
      </c>
      <c r="G86" s="20">
        <v>24</v>
      </c>
      <c r="H86" s="20">
        <v>24</v>
      </c>
      <c r="I86" s="20">
        <v>24</v>
      </c>
      <c r="J86" s="20">
        <v>24</v>
      </c>
      <c r="K86" s="20">
        <v>24</v>
      </c>
      <c r="L86" s="20">
        <v>24</v>
      </c>
      <c r="M86" s="20">
        <v>24</v>
      </c>
      <c r="N86" s="20">
        <v>24</v>
      </c>
      <c r="O86" s="20">
        <v>24</v>
      </c>
      <c r="Q86">
        <f t="shared" si="1"/>
        <v>239</v>
      </c>
    </row>
    <row r="87" spans="1:17" x14ac:dyDescent="0.3">
      <c r="A87" s="20" t="s">
        <v>89</v>
      </c>
      <c r="B87" s="20">
        <v>310244</v>
      </c>
      <c r="C87" s="32">
        <v>42887</v>
      </c>
      <c r="D87" s="20" t="s">
        <v>255</v>
      </c>
      <c r="E87" s="20">
        <v>31</v>
      </c>
      <c r="F87" s="20">
        <v>31</v>
      </c>
      <c r="G87" s="20">
        <v>31</v>
      </c>
      <c r="H87" s="20">
        <v>34</v>
      </c>
      <c r="I87" s="20">
        <v>34</v>
      </c>
      <c r="J87" s="20">
        <v>34</v>
      </c>
      <c r="K87" s="20">
        <v>34</v>
      </c>
      <c r="L87" s="20">
        <v>34</v>
      </c>
      <c r="M87" s="20">
        <v>34</v>
      </c>
      <c r="N87" s="20">
        <v>34</v>
      </c>
      <c r="O87" s="20">
        <v>34</v>
      </c>
      <c r="Q87">
        <f t="shared" si="1"/>
        <v>334</v>
      </c>
    </row>
    <row r="88" spans="1:17" x14ac:dyDescent="0.3">
      <c r="A88" s="20" t="s">
        <v>89</v>
      </c>
      <c r="B88" s="20">
        <v>309263</v>
      </c>
      <c r="C88" s="32">
        <v>42887</v>
      </c>
      <c r="D88" s="20" t="s">
        <v>258</v>
      </c>
      <c r="E88" s="20">
        <v>3</v>
      </c>
      <c r="F88" s="20">
        <v>3</v>
      </c>
      <c r="G88" s="20">
        <v>3</v>
      </c>
      <c r="H88" s="20">
        <v>4</v>
      </c>
      <c r="I88" s="20">
        <v>4</v>
      </c>
      <c r="J88" s="20">
        <v>4</v>
      </c>
      <c r="K88" s="20">
        <v>4</v>
      </c>
      <c r="L88" s="20">
        <v>4</v>
      </c>
      <c r="M88" s="20">
        <v>4</v>
      </c>
      <c r="N88" s="20">
        <v>4</v>
      </c>
      <c r="O88" s="20">
        <v>4</v>
      </c>
      <c r="Q88">
        <f t="shared" si="1"/>
        <v>38</v>
      </c>
    </row>
    <row r="89" spans="1:17" x14ac:dyDescent="0.3">
      <c r="A89" s="20" t="s">
        <v>89</v>
      </c>
      <c r="B89" s="20">
        <v>310333</v>
      </c>
      <c r="C89" s="32">
        <v>42887</v>
      </c>
      <c r="D89" s="20" t="s">
        <v>253</v>
      </c>
      <c r="E89" s="20">
        <v>1</v>
      </c>
      <c r="F89" s="20">
        <v>1</v>
      </c>
      <c r="G89" s="20">
        <v>3</v>
      </c>
      <c r="H89" s="20">
        <v>16</v>
      </c>
      <c r="I89" s="20">
        <v>28</v>
      </c>
      <c r="J89" s="20">
        <v>55</v>
      </c>
      <c r="K89" s="20">
        <v>72</v>
      </c>
      <c r="L89" s="20">
        <v>76</v>
      </c>
      <c r="M89" s="20">
        <v>109</v>
      </c>
      <c r="N89" s="20">
        <v>117</v>
      </c>
      <c r="O89" s="20">
        <v>119</v>
      </c>
      <c r="Q89">
        <f t="shared" si="1"/>
        <v>596</v>
      </c>
    </row>
    <row r="90" spans="1:17" x14ac:dyDescent="0.3">
      <c r="A90" s="20" t="s">
        <v>89</v>
      </c>
      <c r="B90" s="20">
        <v>309364</v>
      </c>
      <c r="C90" s="32">
        <v>42887</v>
      </c>
      <c r="D90" s="20" t="s">
        <v>253</v>
      </c>
      <c r="E90" s="20">
        <v>51</v>
      </c>
      <c r="F90" s="20">
        <v>51</v>
      </c>
      <c r="G90" s="20">
        <v>54</v>
      </c>
      <c r="H90" s="20">
        <v>62</v>
      </c>
      <c r="I90" s="20">
        <v>64</v>
      </c>
      <c r="J90" s="20">
        <v>72</v>
      </c>
      <c r="K90" s="20">
        <v>96</v>
      </c>
      <c r="L90" s="20">
        <v>99</v>
      </c>
      <c r="M90" s="20">
        <v>121</v>
      </c>
      <c r="N90" s="20">
        <v>142</v>
      </c>
      <c r="O90" s="20">
        <v>150</v>
      </c>
      <c r="Q90">
        <f t="shared" si="1"/>
        <v>911</v>
      </c>
    </row>
    <row r="91" spans="1:17" x14ac:dyDescent="0.3">
      <c r="A91" s="20" t="s">
        <v>89</v>
      </c>
      <c r="B91" s="20">
        <v>309923</v>
      </c>
      <c r="C91" s="32">
        <v>42887</v>
      </c>
      <c r="D91" s="20" t="s">
        <v>255</v>
      </c>
      <c r="E91" s="20">
        <v>29</v>
      </c>
      <c r="F91" s="20">
        <v>29</v>
      </c>
      <c r="G91" s="20">
        <v>30</v>
      </c>
      <c r="H91" s="20">
        <v>30</v>
      </c>
      <c r="I91" s="20">
        <v>30</v>
      </c>
      <c r="J91" s="20">
        <v>30</v>
      </c>
      <c r="K91" s="20">
        <v>30</v>
      </c>
      <c r="L91" s="20">
        <v>30</v>
      </c>
      <c r="M91" s="20">
        <v>30</v>
      </c>
      <c r="N91" s="20">
        <v>30</v>
      </c>
      <c r="O91" s="20">
        <v>30</v>
      </c>
      <c r="Q91">
        <f t="shared" si="1"/>
        <v>299</v>
      </c>
    </row>
    <row r="92" spans="1:17" x14ac:dyDescent="0.3">
      <c r="A92" s="20" t="s">
        <v>89</v>
      </c>
      <c r="B92" s="20">
        <v>309460</v>
      </c>
      <c r="C92" s="32">
        <v>42887</v>
      </c>
      <c r="D92" s="20" t="s">
        <v>255</v>
      </c>
      <c r="E92" s="20">
        <v>13</v>
      </c>
      <c r="F92" s="20">
        <v>13</v>
      </c>
      <c r="G92" s="20">
        <v>18</v>
      </c>
      <c r="H92" s="20">
        <v>25</v>
      </c>
      <c r="I92" s="20">
        <v>27</v>
      </c>
      <c r="J92" s="20">
        <v>27</v>
      </c>
      <c r="K92" s="20">
        <v>27</v>
      </c>
      <c r="L92" s="20">
        <v>27</v>
      </c>
      <c r="M92" s="20">
        <v>27</v>
      </c>
      <c r="N92" s="20">
        <v>27</v>
      </c>
      <c r="O92" s="20">
        <v>27</v>
      </c>
      <c r="Q92">
        <f t="shared" si="1"/>
        <v>245</v>
      </c>
    </row>
    <row r="93" spans="1:17" x14ac:dyDescent="0.3">
      <c r="A93" s="20" t="s">
        <v>89</v>
      </c>
      <c r="B93" s="20">
        <v>309114</v>
      </c>
      <c r="C93" s="32">
        <v>42887</v>
      </c>
      <c r="D93" s="20" t="s">
        <v>259</v>
      </c>
      <c r="E93" s="20">
        <v>1</v>
      </c>
      <c r="F93" s="20">
        <v>1</v>
      </c>
      <c r="G93" s="20">
        <v>1</v>
      </c>
      <c r="H93" s="20">
        <v>2</v>
      </c>
      <c r="I93" s="20">
        <v>2</v>
      </c>
      <c r="J93" s="20">
        <v>2</v>
      </c>
      <c r="K93" s="20">
        <v>2</v>
      </c>
      <c r="L93" s="20">
        <v>2</v>
      </c>
      <c r="M93" s="20">
        <v>2</v>
      </c>
      <c r="N93" s="20">
        <v>2</v>
      </c>
      <c r="O93" s="20">
        <v>2</v>
      </c>
      <c r="Q93">
        <f t="shared" si="1"/>
        <v>18</v>
      </c>
    </row>
    <row r="94" spans="1:17" x14ac:dyDescent="0.3">
      <c r="A94" s="20" t="s">
        <v>89</v>
      </c>
      <c r="B94" s="20">
        <v>310166</v>
      </c>
      <c r="C94" s="32">
        <v>42887</v>
      </c>
      <c r="D94" s="20" t="s">
        <v>258</v>
      </c>
      <c r="E94" s="20">
        <v>1</v>
      </c>
      <c r="F94" s="20">
        <v>1</v>
      </c>
      <c r="G94" s="20">
        <v>2</v>
      </c>
      <c r="H94" s="20">
        <v>2</v>
      </c>
      <c r="I94" s="20">
        <v>2</v>
      </c>
      <c r="J94" s="20">
        <v>2</v>
      </c>
      <c r="K94" s="20">
        <v>2</v>
      </c>
      <c r="L94" s="20">
        <v>2</v>
      </c>
      <c r="M94" s="20">
        <v>2</v>
      </c>
      <c r="N94" s="20">
        <v>2</v>
      </c>
      <c r="O94" s="20">
        <v>2</v>
      </c>
      <c r="Q94">
        <f t="shared" si="1"/>
        <v>19</v>
      </c>
    </row>
    <row r="95" spans="1:17" x14ac:dyDescent="0.3">
      <c r="A95" s="20" t="s">
        <v>89</v>
      </c>
      <c r="B95" s="20">
        <v>309692</v>
      </c>
      <c r="C95" s="32">
        <v>42887</v>
      </c>
      <c r="D95" s="20" t="s">
        <v>253</v>
      </c>
      <c r="E95" s="20">
        <v>13</v>
      </c>
      <c r="F95" s="20">
        <v>13</v>
      </c>
      <c r="G95" s="20">
        <v>20</v>
      </c>
      <c r="H95" s="20">
        <v>49</v>
      </c>
      <c r="I95" s="20">
        <v>88</v>
      </c>
      <c r="J95" s="20">
        <v>124</v>
      </c>
      <c r="K95" s="20">
        <v>134</v>
      </c>
      <c r="L95" s="20">
        <v>135</v>
      </c>
      <c r="M95" s="20">
        <v>135</v>
      </c>
      <c r="N95" s="20">
        <v>135</v>
      </c>
      <c r="O95" s="20">
        <v>135</v>
      </c>
      <c r="Q95">
        <f t="shared" si="1"/>
        <v>968</v>
      </c>
    </row>
    <row r="96" spans="1:17" x14ac:dyDescent="0.3">
      <c r="A96" s="20" t="s">
        <v>89</v>
      </c>
      <c r="B96" s="20">
        <v>309693</v>
      </c>
      <c r="C96" s="32">
        <v>42887</v>
      </c>
      <c r="D96" s="20" t="s">
        <v>255</v>
      </c>
      <c r="E96" s="20">
        <v>12</v>
      </c>
      <c r="F96" s="20">
        <v>12</v>
      </c>
      <c r="G96" s="20">
        <v>15</v>
      </c>
      <c r="H96" s="20">
        <v>15</v>
      </c>
      <c r="I96" s="20">
        <v>15</v>
      </c>
      <c r="J96" s="20">
        <v>15</v>
      </c>
      <c r="K96" s="20">
        <v>15</v>
      </c>
      <c r="L96" s="20">
        <v>15</v>
      </c>
      <c r="M96" s="20">
        <v>15</v>
      </c>
      <c r="N96" s="20">
        <v>15</v>
      </c>
      <c r="O96" s="20">
        <v>15</v>
      </c>
      <c r="Q96">
        <f t="shared" si="1"/>
        <v>147</v>
      </c>
    </row>
    <row r="97" spans="1:17" x14ac:dyDescent="0.3">
      <c r="A97" s="20" t="s">
        <v>89</v>
      </c>
      <c r="B97" s="20">
        <v>312577</v>
      </c>
      <c r="C97" s="32">
        <v>42887</v>
      </c>
      <c r="D97" s="20" t="s">
        <v>253</v>
      </c>
      <c r="E97" s="20">
        <v>109</v>
      </c>
      <c r="F97" s="20">
        <v>109</v>
      </c>
      <c r="G97" s="20">
        <v>128</v>
      </c>
      <c r="H97" s="20">
        <v>149</v>
      </c>
      <c r="I97" s="20">
        <v>159</v>
      </c>
      <c r="J97" s="20">
        <v>159</v>
      </c>
      <c r="K97" s="20">
        <v>159</v>
      </c>
      <c r="L97" s="20">
        <v>159</v>
      </c>
      <c r="M97" s="20">
        <v>159</v>
      </c>
      <c r="N97" s="20">
        <v>159</v>
      </c>
      <c r="O97" s="20">
        <v>159</v>
      </c>
      <c r="Q97">
        <f t="shared" si="1"/>
        <v>1499</v>
      </c>
    </row>
    <row r="98" spans="1:17" x14ac:dyDescent="0.3">
      <c r="A98" s="20" t="s">
        <v>89</v>
      </c>
      <c r="B98" s="20">
        <v>312578</v>
      </c>
      <c r="C98" s="32">
        <v>42887</v>
      </c>
      <c r="D98" s="20" t="s">
        <v>255</v>
      </c>
      <c r="E98" s="20">
        <v>20</v>
      </c>
      <c r="F98" s="20">
        <v>20</v>
      </c>
      <c r="G98" s="20">
        <v>22</v>
      </c>
      <c r="H98" s="20">
        <v>24</v>
      </c>
      <c r="I98" s="20">
        <v>26</v>
      </c>
      <c r="J98" s="20">
        <v>26</v>
      </c>
      <c r="K98" s="20">
        <v>26</v>
      </c>
      <c r="L98" s="20">
        <v>26</v>
      </c>
      <c r="M98" s="20">
        <v>26</v>
      </c>
      <c r="N98" s="20">
        <v>26</v>
      </c>
      <c r="O98" s="20">
        <v>26</v>
      </c>
      <c r="Q98">
        <f t="shared" si="1"/>
        <v>248</v>
      </c>
    </row>
    <row r="99" spans="1:17" x14ac:dyDescent="0.3">
      <c r="A99" s="20" t="s">
        <v>89</v>
      </c>
      <c r="B99" s="20">
        <v>312584</v>
      </c>
      <c r="C99" s="32">
        <v>42887</v>
      </c>
      <c r="D99" s="20" t="s">
        <v>258</v>
      </c>
      <c r="E99" s="20">
        <v>2</v>
      </c>
      <c r="F99" s="20">
        <v>2</v>
      </c>
      <c r="G99" s="20">
        <v>3</v>
      </c>
      <c r="H99" s="20">
        <v>3</v>
      </c>
      <c r="I99" s="20">
        <v>4</v>
      </c>
      <c r="J99" s="20">
        <v>4</v>
      </c>
      <c r="K99" s="20">
        <v>4</v>
      </c>
      <c r="L99" s="20">
        <v>4</v>
      </c>
      <c r="M99" s="20">
        <v>4</v>
      </c>
      <c r="N99" s="20">
        <v>4</v>
      </c>
      <c r="O99" s="20">
        <v>4</v>
      </c>
      <c r="Q99">
        <f t="shared" si="1"/>
        <v>36</v>
      </c>
    </row>
    <row r="100" spans="1:17" x14ac:dyDescent="0.3">
      <c r="A100" s="20" t="s">
        <v>89</v>
      </c>
      <c r="B100" s="20">
        <v>312733</v>
      </c>
      <c r="C100" s="32">
        <v>42887</v>
      </c>
      <c r="D100" s="20" t="s">
        <v>253</v>
      </c>
      <c r="E100" s="20">
        <v>146</v>
      </c>
      <c r="F100" s="20">
        <v>146</v>
      </c>
      <c r="G100" s="20">
        <v>154</v>
      </c>
      <c r="H100" s="20">
        <v>156</v>
      </c>
      <c r="I100" s="20">
        <v>156</v>
      </c>
      <c r="J100" s="20">
        <v>156</v>
      </c>
      <c r="K100" s="20">
        <v>156</v>
      </c>
      <c r="L100" s="20">
        <v>156</v>
      </c>
      <c r="M100" s="20">
        <v>156</v>
      </c>
      <c r="N100" s="20">
        <v>156</v>
      </c>
      <c r="O100" s="20">
        <v>156</v>
      </c>
      <c r="Q100">
        <f t="shared" si="1"/>
        <v>1548</v>
      </c>
    </row>
    <row r="101" spans="1:17" x14ac:dyDescent="0.3">
      <c r="A101" s="20" t="s">
        <v>89</v>
      </c>
      <c r="B101" s="20">
        <v>312734</v>
      </c>
      <c r="C101" s="32">
        <v>42887</v>
      </c>
      <c r="D101" s="20" t="s">
        <v>255</v>
      </c>
      <c r="E101" s="20">
        <v>14</v>
      </c>
      <c r="F101" s="20">
        <v>14</v>
      </c>
      <c r="G101" s="20">
        <v>14</v>
      </c>
      <c r="H101" s="20">
        <v>20</v>
      </c>
      <c r="I101" s="20">
        <v>21</v>
      </c>
      <c r="J101" s="20">
        <v>21</v>
      </c>
      <c r="K101" s="20">
        <v>21</v>
      </c>
      <c r="L101" s="20">
        <v>21</v>
      </c>
      <c r="M101" s="20">
        <v>21</v>
      </c>
      <c r="N101" s="20">
        <v>21</v>
      </c>
      <c r="O101" s="20">
        <v>21</v>
      </c>
      <c r="Q101">
        <f t="shared" si="1"/>
        <v>195</v>
      </c>
    </row>
    <row r="102" spans="1:17" x14ac:dyDescent="0.3">
      <c r="A102" s="20" t="s">
        <v>89</v>
      </c>
      <c r="B102" s="20">
        <v>312741</v>
      </c>
      <c r="C102" s="32">
        <v>42887</v>
      </c>
      <c r="D102" s="20" t="s">
        <v>258</v>
      </c>
      <c r="E102" s="20">
        <v>1</v>
      </c>
      <c r="F102" s="20">
        <v>1</v>
      </c>
      <c r="G102" s="20">
        <v>1</v>
      </c>
      <c r="H102" s="20">
        <v>2</v>
      </c>
      <c r="I102" s="20">
        <v>2</v>
      </c>
      <c r="J102" s="20">
        <v>2</v>
      </c>
      <c r="K102" s="20">
        <v>2</v>
      </c>
      <c r="L102" s="20">
        <v>2</v>
      </c>
      <c r="M102" s="20">
        <v>2</v>
      </c>
      <c r="N102" s="20">
        <v>2</v>
      </c>
      <c r="O102" s="20">
        <v>2</v>
      </c>
      <c r="Q102">
        <f t="shared" si="1"/>
        <v>18</v>
      </c>
    </row>
    <row r="103" spans="1:17" x14ac:dyDescent="0.3">
      <c r="A103" s="20" t="s">
        <v>89</v>
      </c>
      <c r="B103" s="20">
        <v>312825</v>
      </c>
      <c r="C103" s="32">
        <v>42887</v>
      </c>
      <c r="D103" s="20" t="s">
        <v>265</v>
      </c>
      <c r="E103" s="20">
        <v>1</v>
      </c>
      <c r="F103" s="20">
        <v>1</v>
      </c>
      <c r="G103" s="20">
        <v>1</v>
      </c>
      <c r="H103" s="20">
        <v>2</v>
      </c>
      <c r="I103" s="20">
        <v>3</v>
      </c>
      <c r="J103" s="20">
        <v>3</v>
      </c>
      <c r="K103" s="20">
        <v>3</v>
      </c>
      <c r="L103" s="20">
        <v>3</v>
      </c>
      <c r="M103" s="20">
        <v>3</v>
      </c>
      <c r="N103" s="20">
        <v>3</v>
      </c>
      <c r="O103" s="20">
        <v>4</v>
      </c>
      <c r="Q103">
        <f t="shared" si="1"/>
        <v>26</v>
      </c>
    </row>
    <row r="104" spans="1:17" x14ac:dyDescent="0.3">
      <c r="A104" s="20" t="s">
        <v>89</v>
      </c>
      <c r="B104" s="20">
        <v>312826</v>
      </c>
      <c r="C104" s="32">
        <v>42887</v>
      </c>
      <c r="D104" s="20" t="s">
        <v>258</v>
      </c>
      <c r="E104" s="20">
        <v>1</v>
      </c>
      <c r="F104" s="20">
        <v>2</v>
      </c>
      <c r="G104" s="20">
        <v>2</v>
      </c>
      <c r="H104" s="20">
        <v>2</v>
      </c>
      <c r="I104" s="20">
        <v>2</v>
      </c>
      <c r="J104" s="20">
        <v>2</v>
      </c>
      <c r="K104" s="20">
        <v>2</v>
      </c>
      <c r="L104" s="20">
        <v>2</v>
      </c>
      <c r="M104" s="20">
        <v>2</v>
      </c>
      <c r="N104" s="20">
        <v>2</v>
      </c>
      <c r="O104" s="20">
        <v>2</v>
      </c>
      <c r="Q104">
        <f t="shared" si="1"/>
        <v>20</v>
      </c>
    </row>
    <row r="105" spans="1:17" x14ac:dyDescent="0.3">
      <c r="A105" s="20" t="s">
        <v>89</v>
      </c>
      <c r="B105" s="20">
        <v>317372</v>
      </c>
      <c r="C105" s="32">
        <v>42887</v>
      </c>
      <c r="D105" s="20" t="s">
        <v>260</v>
      </c>
      <c r="E105" s="20">
        <v>1</v>
      </c>
      <c r="F105" s="20">
        <v>1</v>
      </c>
      <c r="G105" s="20">
        <v>1</v>
      </c>
      <c r="H105" s="20">
        <v>2</v>
      </c>
      <c r="I105" s="20">
        <v>2</v>
      </c>
      <c r="J105" s="20">
        <v>2</v>
      </c>
      <c r="K105" s="20">
        <v>2</v>
      </c>
      <c r="L105" s="20">
        <v>2</v>
      </c>
      <c r="M105" s="20">
        <v>2</v>
      </c>
      <c r="N105" s="20">
        <v>2</v>
      </c>
      <c r="O105" s="20">
        <v>2</v>
      </c>
      <c r="Q105">
        <f t="shared" si="1"/>
        <v>18</v>
      </c>
    </row>
    <row r="106" spans="1:17" x14ac:dyDescent="0.3">
      <c r="A106" s="20" t="s">
        <v>89</v>
      </c>
      <c r="B106" s="20">
        <v>317373</v>
      </c>
      <c r="C106" s="32">
        <v>42887</v>
      </c>
      <c r="D106" s="20" t="s">
        <v>257</v>
      </c>
      <c r="E106" s="20">
        <v>1</v>
      </c>
      <c r="F106" s="20">
        <v>2</v>
      </c>
      <c r="G106" s="20">
        <v>2</v>
      </c>
      <c r="H106" s="20">
        <v>2</v>
      </c>
      <c r="I106" s="20">
        <v>3</v>
      </c>
      <c r="J106" s="20">
        <v>4</v>
      </c>
      <c r="K106" s="20">
        <v>4</v>
      </c>
      <c r="L106" s="20">
        <v>4</v>
      </c>
      <c r="M106" s="20">
        <v>4</v>
      </c>
      <c r="N106" s="20">
        <v>4</v>
      </c>
      <c r="O106" s="20">
        <v>4</v>
      </c>
      <c r="Q106">
        <f t="shared" si="1"/>
        <v>33</v>
      </c>
    </row>
    <row r="107" spans="1:17" x14ac:dyDescent="0.3">
      <c r="A107" s="20" t="s">
        <v>89</v>
      </c>
      <c r="B107" s="20">
        <v>317443</v>
      </c>
      <c r="C107" s="32">
        <v>42887</v>
      </c>
      <c r="D107" s="20" t="s">
        <v>253</v>
      </c>
      <c r="E107" s="20">
        <v>110</v>
      </c>
      <c r="F107" s="20">
        <v>110</v>
      </c>
      <c r="G107" s="20">
        <v>124</v>
      </c>
      <c r="H107" s="20">
        <v>141</v>
      </c>
      <c r="I107" s="20">
        <v>141</v>
      </c>
      <c r="J107" s="20">
        <v>141</v>
      </c>
      <c r="K107" s="20">
        <v>141</v>
      </c>
      <c r="L107" s="20">
        <v>141</v>
      </c>
      <c r="M107" s="20">
        <v>141</v>
      </c>
      <c r="N107" s="20">
        <v>141</v>
      </c>
      <c r="O107" s="20">
        <v>141</v>
      </c>
      <c r="Q107">
        <f t="shared" si="1"/>
        <v>1362</v>
      </c>
    </row>
    <row r="108" spans="1:17" x14ac:dyDescent="0.3">
      <c r="A108" s="20" t="s">
        <v>89</v>
      </c>
      <c r="B108" s="20">
        <v>317444</v>
      </c>
      <c r="C108" s="32">
        <v>42887</v>
      </c>
      <c r="D108" s="20" t="s">
        <v>255</v>
      </c>
      <c r="E108" s="20">
        <v>17</v>
      </c>
      <c r="F108" s="20">
        <v>17</v>
      </c>
      <c r="G108" s="20">
        <v>19</v>
      </c>
      <c r="H108" s="20">
        <v>23</v>
      </c>
      <c r="I108" s="20">
        <v>23</v>
      </c>
      <c r="J108" s="20">
        <v>24</v>
      </c>
      <c r="K108" s="20">
        <v>24</v>
      </c>
      <c r="L108" s="20">
        <v>24</v>
      </c>
      <c r="M108" s="20">
        <v>24</v>
      </c>
      <c r="N108" s="20">
        <v>24</v>
      </c>
      <c r="O108" s="20">
        <v>24</v>
      </c>
      <c r="Q108">
        <f t="shared" si="1"/>
        <v>226</v>
      </c>
    </row>
    <row r="109" spans="1:17" x14ac:dyDescent="0.3">
      <c r="A109" s="20" t="s">
        <v>89</v>
      </c>
      <c r="B109" s="20">
        <v>219576</v>
      </c>
      <c r="C109" s="32">
        <v>42886</v>
      </c>
      <c r="D109" s="20" t="s">
        <v>253</v>
      </c>
      <c r="E109" s="20">
        <v>50</v>
      </c>
      <c r="F109" s="20">
        <v>50</v>
      </c>
      <c r="G109" s="20">
        <v>93</v>
      </c>
      <c r="H109" s="20">
        <v>148</v>
      </c>
      <c r="I109" s="20">
        <v>155</v>
      </c>
      <c r="J109" s="20">
        <v>155</v>
      </c>
      <c r="K109" s="20">
        <v>155</v>
      </c>
      <c r="L109" s="20">
        <v>155</v>
      </c>
      <c r="M109" s="20">
        <v>155</v>
      </c>
      <c r="N109" s="20">
        <v>155</v>
      </c>
      <c r="O109" s="20">
        <v>155</v>
      </c>
      <c r="Q109">
        <f t="shared" si="1"/>
        <v>1376</v>
      </c>
    </row>
    <row r="110" spans="1:17" x14ac:dyDescent="0.3">
      <c r="A110" s="20" t="s">
        <v>89</v>
      </c>
      <c r="B110" s="20">
        <v>219575</v>
      </c>
      <c r="C110" s="32">
        <v>42886</v>
      </c>
      <c r="D110" s="20" t="s">
        <v>253</v>
      </c>
      <c r="E110" s="20">
        <v>73</v>
      </c>
      <c r="F110" s="20">
        <v>73</v>
      </c>
      <c r="G110" s="20">
        <v>91</v>
      </c>
      <c r="H110" s="20">
        <v>124</v>
      </c>
      <c r="I110" s="20">
        <v>144</v>
      </c>
      <c r="J110" s="20">
        <v>166</v>
      </c>
      <c r="K110" s="20">
        <v>166</v>
      </c>
      <c r="L110" s="20">
        <v>166</v>
      </c>
      <c r="M110" s="20">
        <v>166</v>
      </c>
      <c r="N110" s="20">
        <v>166</v>
      </c>
      <c r="O110" s="20">
        <v>166</v>
      </c>
      <c r="Q110">
        <f t="shared" si="1"/>
        <v>1428</v>
      </c>
    </row>
    <row r="111" spans="1:17" x14ac:dyDescent="0.3">
      <c r="A111" s="20" t="s">
        <v>89</v>
      </c>
      <c r="B111" s="20">
        <v>219578</v>
      </c>
      <c r="C111" s="32">
        <v>42886</v>
      </c>
      <c r="D111" s="20" t="s">
        <v>253</v>
      </c>
      <c r="E111" s="20">
        <v>125</v>
      </c>
      <c r="F111" s="20">
        <v>125</v>
      </c>
      <c r="G111" s="20">
        <v>128</v>
      </c>
      <c r="H111" s="20">
        <v>131</v>
      </c>
      <c r="I111" s="20">
        <v>131</v>
      </c>
      <c r="J111" s="20">
        <v>131</v>
      </c>
      <c r="K111" s="20">
        <v>131</v>
      </c>
      <c r="L111" s="20">
        <v>131</v>
      </c>
      <c r="M111" s="20">
        <v>131</v>
      </c>
      <c r="N111" s="20">
        <v>131</v>
      </c>
      <c r="O111" s="20">
        <v>131</v>
      </c>
      <c r="Q111">
        <f t="shared" si="1"/>
        <v>1301</v>
      </c>
    </row>
    <row r="112" spans="1:17" x14ac:dyDescent="0.3">
      <c r="A112" s="20" t="s">
        <v>89</v>
      </c>
      <c r="B112" s="20">
        <v>219744</v>
      </c>
      <c r="C112" s="32">
        <v>42886</v>
      </c>
      <c r="D112" s="20" t="s">
        <v>259</v>
      </c>
      <c r="E112" s="20">
        <v>1</v>
      </c>
      <c r="F112" s="20">
        <v>1</v>
      </c>
      <c r="G112" s="20">
        <v>2</v>
      </c>
      <c r="H112" s="20">
        <v>2</v>
      </c>
      <c r="I112" s="20">
        <v>2</v>
      </c>
      <c r="J112" s="20">
        <v>2</v>
      </c>
      <c r="K112" s="20">
        <v>2</v>
      </c>
      <c r="L112" s="20">
        <v>2</v>
      </c>
      <c r="M112" s="20">
        <v>2</v>
      </c>
      <c r="N112" s="20">
        <v>2</v>
      </c>
      <c r="O112" s="20">
        <v>2</v>
      </c>
      <c r="Q112">
        <f t="shared" si="1"/>
        <v>19</v>
      </c>
    </row>
    <row r="113" spans="1:17" x14ac:dyDescent="0.3">
      <c r="A113" s="20" t="s">
        <v>89</v>
      </c>
      <c r="B113" s="20">
        <v>219745</v>
      </c>
      <c r="C113" s="32">
        <v>42886</v>
      </c>
      <c r="D113" s="20" t="s">
        <v>259</v>
      </c>
      <c r="E113" s="20">
        <v>1</v>
      </c>
      <c r="F113" s="20">
        <v>1</v>
      </c>
      <c r="G113" s="20">
        <v>1</v>
      </c>
      <c r="H113" s="20">
        <v>2</v>
      </c>
      <c r="I113" s="20">
        <v>3</v>
      </c>
      <c r="J113" s="20">
        <v>3</v>
      </c>
      <c r="K113" s="20">
        <v>3</v>
      </c>
      <c r="L113" s="20">
        <v>3</v>
      </c>
      <c r="M113" s="20">
        <v>3</v>
      </c>
      <c r="N113" s="20">
        <v>3</v>
      </c>
      <c r="O113" s="20">
        <v>3</v>
      </c>
      <c r="Q113">
        <f t="shared" si="1"/>
        <v>25</v>
      </c>
    </row>
    <row r="114" spans="1:17" x14ac:dyDescent="0.3">
      <c r="A114" s="20" t="s">
        <v>89</v>
      </c>
      <c r="B114" s="20">
        <v>219746</v>
      </c>
      <c r="C114" s="32">
        <v>42886</v>
      </c>
      <c r="D114" s="20" t="s">
        <v>259</v>
      </c>
      <c r="E114" s="20">
        <v>1</v>
      </c>
      <c r="F114" s="20">
        <v>1</v>
      </c>
      <c r="G114" s="20">
        <v>1</v>
      </c>
      <c r="H114" s="20">
        <v>2</v>
      </c>
      <c r="I114" s="20">
        <v>2</v>
      </c>
      <c r="J114" s="20">
        <v>2</v>
      </c>
      <c r="K114" s="20">
        <v>2</v>
      </c>
      <c r="L114" s="20">
        <v>2</v>
      </c>
      <c r="M114" s="20">
        <v>2</v>
      </c>
      <c r="N114" s="20">
        <v>2</v>
      </c>
      <c r="O114" s="20">
        <v>2</v>
      </c>
      <c r="Q114">
        <f t="shared" si="1"/>
        <v>18</v>
      </c>
    </row>
    <row r="115" spans="1:17" x14ac:dyDescent="0.3">
      <c r="A115" s="20" t="s">
        <v>89</v>
      </c>
      <c r="B115" s="20">
        <v>219747</v>
      </c>
      <c r="C115" s="32">
        <v>42886</v>
      </c>
      <c r="D115" s="20" t="s">
        <v>259</v>
      </c>
      <c r="E115" s="20">
        <v>1</v>
      </c>
      <c r="F115" s="20">
        <v>1</v>
      </c>
      <c r="G115" s="20">
        <v>1</v>
      </c>
      <c r="H115" s="20">
        <v>2</v>
      </c>
      <c r="I115" s="20">
        <v>2</v>
      </c>
      <c r="J115" s="20">
        <v>2</v>
      </c>
      <c r="K115" s="20">
        <v>2</v>
      </c>
      <c r="L115" s="20">
        <v>2</v>
      </c>
      <c r="M115" s="20">
        <v>2</v>
      </c>
      <c r="N115" s="20">
        <v>2</v>
      </c>
      <c r="O115" s="20">
        <v>2</v>
      </c>
      <c r="Q115">
        <f t="shared" si="1"/>
        <v>18</v>
      </c>
    </row>
    <row r="116" spans="1:17" x14ac:dyDescent="0.3">
      <c r="A116" s="20" t="s">
        <v>89</v>
      </c>
      <c r="B116" s="20">
        <v>219759</v>
      </c>
      <c r="C116" s="32">
        <v>42886</v>
      </c>
      <c r="D116" s="20" t="s">
        <v>259</v>
      </c>
      <c r="E116" s="20">
        <v>3</v>
      </c>
      <c r="F116" s="20">
        <v>4</v>
      </c>
      <c r="G116" s="20">
        <v>4</v>
      </c>
      <c r="H116" s="20">
        <v>4</v>
      </c>
      <c r="I116" s="20">
        <v>4</v>
      </c>
      <c r="J116" s="20">
        <v>4</v>
      </c>
      <c r="K116" s="20">
        <v>4</v>
      </c>
      <c r="L116" s="20">
        <v>4</v>
      </c>
      <c r="M116" s="20">
        <v>4</v>
      </c>
      <c r="N116" s="20">
        <v>4</v>
      </c>
      <c r="O116" s="20">
        <v>4</v>
      </c>
      <c r="Q116">
        <f t="shared" si="1"/>
        <v>40</v>
      </c>
    </row>
    <row r="117" spans="1:17" x14ac:dyDescent="0.3">
      <c r="A117" s="20" t="s">
        <v>89</v>
      </c>
      <c r="B117" s="20">
        <v>219769</v>
      </c>
      <c r="C117" s="32">
        <v>42886</v>
      </c>
      <c r="D117" s="20" t="s">
        <v>256</v>
      </c>
      <c r="E117" s="20">
        <v>1</v>
      </c>
      <c r="F117" s="20">
        <v>1</v>
      </c>
      <c r="G117" s="20">
        <v>2</v>
      </c>
      <c r="H117" s="20">
        <v>2</v>
      </c>
      <c r="I117" s="20">
        <v>2</v>
      </c>
      <c r="J117" s="20">
        <v>2</v>
      </c>
      <c r="K117" s="20">
        <v>2</v>
      </c>
      <c r="L117" s="20">
        <v>2</v>
      </c>
      <c r="M117" s="20">
        <v>2</v>
      </c>
      <c r="N117" s="20">
        <v>2</v>
      </c>
      <c r="O117" s="20">
        <v>2</v>
      </c>
      <c r="Q117">
        <f t="shared" si="1"/>
        <v>19</v>
      </c>
    </row>
    <row r="118" spans="1:17" x14ac:dyDescent="0.3">
      <c r="A118" s="20" t="s">
        <v>89</v>
      </c>
      <c r="B118" s="20">
        <v>219770</v>
      </c>
      <c r="C118" s="32">
        <v>42886</v>
      </c>
      <c r="D118" s="20" t="s">
        <v>256</v>
      </c>
      <c r="E118" s="20">
        <v>1</v>
      </c>
      <c r="F118" s="20">
        <v>1</v>
      </c>
      <c r="G118" s="20">
        <v>2</v>
      </c>
      <c r="H118" s="20">
        <v>3</v>
      </c>
      <c r="I118" s="20">
        <v>3</v>
      </c>
      <c r="J118" s="20">
        <v>3</v>
      </c>
      <c r="K118" s="20">
        <v>3</v>
      </c>
      <c r="L118" s="20">
        <v>3</v>
      </c>
      <c r="M118" s="20">
        <v>3</v>
      </c>
      <c r="N118" s="20">
        <v>3</v>
      </c>
      <c r="O118" s="20">
        <v>3</v>
      </c>
      <c r="Q118">
        <f t="shared" si="1"/>
        <v>27</v>
      </c>
    </row>
    <row r="119" spans="1:17" x14ac:dyDescent="0.3">
      <c r="A119" s="20" t="s">
        <v>89</v>
      </c>
      <c r="B119" s="20">
        <v>219772</v>
      </c>
      <c r="C119" s="32">
        <v>42886</v>
      </c>
      <c r="D119" s="20" t="s">
        <v>256</v>
      </c>
      <c r="E119" s="20">
        <v>1</v>
      </c>
      <c r="F119" s="20">
        <v>2</v>
      </c>
      <c r="G119" s="20">
        <v>2</v>
      </c>
      <c r="H119" s="20">
        <v>2</v>
      </c>
      <c r="I119" s="20">
        <v>2</v>
      </c>
      <c r="J119" s="20">
        <v>2</v>
      </c>
      <c r="K119" s="20">
        <v>2</v>
      </c>
      <c r="L119" s="20">
        <v>2</v>
      </c>
      <c r="M119" s="20">
        <v>2</v>
      </c>
      <c r="N119" s="20">
        <v>2</v>
      </c>
      <c r="O119" s="20">
        <v>2</v>
      </c>
      <c r="Q119">
        <f t="shared" si="1"/>
        <v>20</v>
      </c>
    </row>
    <row r="120" spans="1:17" x14ac:dyDescent="0.3">
      <c r="A120" s="20" t="s">
        <v>89</v>
      </c>
      <c r="B120" s="20">
        <v>219774</v>
      </c>
      <c r="C120" s="32">
        <v>42886</v>
      </c>
      <c r="D120" s="20" t="s">
        <v>256</v>
      </c>
      <c r="E120" s="20">
        <v>2</v>
      </c>
      <c r="F120" s="20">
        <v>2</v>
      </c>
      <c r="G120" s="20">
        <v>2</v>
      </c>
      <c r="H120" s="20">
        <v>3</v>
      </c>
      <c r="I120" s="20">
        <v>3</v>
      </c>
      <c r="J120" s="20">
        <v>3</v>
      </c>
      <c r="K120" s="20">
        <v>3</v>
      </c>
      <c r="L120" s="20">
        <v>3</v>
      </c>
      <c r="M120" s="20">
        <v>3</v>
      </c>
      <c r="N120" s="20">
        <v>3</v>
      </c>
      <c r="O120" s="20">
        <v>3</v>
      </c>
      <c r="Q120">
        <f t="shared" si="1"/>
        <v>28</v>
      </c>
    </row>
    <row r="121" spans="1:17" x14ac:dyDescent="0.3">
      <c r="A121" s="20" t="s">
        <v>89</v>
      </c>
      <c r="B121" s="20">
        <v>219775</v>
      </c>
      <c r="C121" s="32">
        <v>42886</v>
      </c>
      <c r="D121" s="20" t="s">
        <v>256</v>
      </c>
      <c r="E121" s="20">
        <v>2</v>
      </c>
      <c r="F121" s="20">
        <v>2</v>
      </c>
      <c r="G121" s="20">
        <v>2</v>
      </c>
      <c r="H121" s="20">
        <v>3</v>
      </c>
      <c r="I121" s="20">
        <v>3</v>
      </c>
      <c r="J121" s="20">
        <v>3</v>
      </c>
      <c r="K121" s="20">
        <v>3</v>
      </c>
      <c r="L121" s="20">
        <v>3</v>
      </c>
      <c r="M121" s="20">
        <v>3</v>
      </c>
      <c r="N121" s="20">
        <v>3</v>
      </c>
      <c r="O121" s="20">
        <v>3</v>
      </c>
      <c r="Q121">
        <f t="shared" si="1"/>
        <v>28</v>
      </c>
    </row>
    <row r="122" spans="1:17" x14ac:dyDescent="0.3">
      <c r="A122" s="20" t="s">
        <v>89</v>
      </c>
      <c r="B122" s="20">
        <v>219867</v>
      </c>
      <c r="C122" s="32">
        <v>42886</v>
      </c>
      <c r="D122" s="20" t="s">
        <v>258</v>
      </c>
      <c r="E122" s="20">
        <v>2</v>
      </c>
      <c r="F122" s="20">
        <v>2</v>
      </c>
      <c r="G122" s="20">
        <v>2</v>
      </c>
      <c r="H122" s="20">
        <v>3</v>
      </c>
      <c r="I122" s="20">
        <v>3</v>
      </c>
      <c r="J122" s="20">
        <v>3</v>
      </c>
      <c r="K122" s="20">
        <v>3</v>
      </c>
      <c r="L122" s="20">
        <v>3</v>
      </c>
      <c r="M122" s="20">
        <v>3</v>
      </c>
      <c r="N122" s="20">
        <v>3</v>
      </c>
      <c r="O122" s="20">
        <v>3</v>
      </c>
      <c r="Q122">
        <f t="shared" si="1"/>
        <v>28</v>
      </c>
    </row>
    <row r="123" spans="1:17" x14ac:dyDescent="0.3">
      <c r="A123" s="20" t="s">
        <v>89</v>
      </c>
      <c r="B123" s="20">
        <v>219870</v>
      </c>
      <c r="C123" s="32">
        <v>42886</v>
      </c>
      <c r="D123" s="20" t="s">
        <v>258</v>
      </c>
      <c r="E123" s="20">
        <v>2</v>
      </c>
      <c r="F123" s="20">
        <v>2</v>
      </c>
      <c r="G123" s="20">
        <v>2</v>
      </c>
      <c r="H123" s="20">
        <v>3</v>
      </c>
      <c r="I123" s="20">
        <v>4</v>
      </c>
      <c r="J123" s="20">
        <v>4</v>
      </c>
      <c r="K123" s="20">
        <v>4</v>
      </c>
      <c r="L123" s="20">
        <v>4</v>
      </c>
      <c r="M123" s="20">
        <v>4</v>
      </c>
      <c r="N123" s="20">
        <v>4</v>
      </c>
      <c r="O123" s="20">
        <v>4</v>
      </c>
      <c r="Q123">
        <f t="shared" si="1"/>
        <v>35</v>
      </c>
    </row>
    <row r="124" spans="1:17" x14ac:dyDescent="0.3">
      <c r="A124" s="20" t="s">
        <v>89</v>
      </c>
      <c r="B124" s="20">
        <v>219871</v>
      </c>
      <c r="C124" s="32">
        <v>42886</v>
      </c>
      <c r="D124" s="20" t="s">
        <v>258</v>
      </c>
      <c r="E124" s="20">
        <v>2</v>
      </c>
      <c r="F124" s="20">
        <v>2</v>
      </c>
      <c r="G124" s="20">
        <v>3</v>
      </c>
      <c r="H124" s="20">
        <v>3</v>
      </c>
      <c r="I124" s="20">
        <v>4</v>
      </c>
      <c r="J124" s="20">
        <v>4</v>
      </c>
      <c r="K124" s="20">
        <v>4</v>
      </c>
      <c r="L124" s="20">
        <v>4</v>
      </c>
      <c r="M124" s="20">
        <v>4</v>
      </c>
      <c r="N124" s="20">
        <v>4</v>
      </c>
      <c r="O124" s="20">
        <v>4</v>
      </c>
      <c r="Q124">
        <f t="shared" si="1"/>
        <v>36</v>
      </c>
    </row>
    <row r="125" spans="1:17" x14ac:dyDescent="0.3">
      <c r="A125" s="20" t="s">
        <v>89</v>
      </c>
      <c r="B125" s="20">
        <v>219875</v>
      </c>
      <c r="C125" s="32">
        <v>42886</v>
      </c>
      <c r="D125" s="20" t="s">
        <v>258</v>
      </c>
      <c r="E125" s="20">
        <v>1</v>
      </c>
      <c r="F125" s="20">
        <v>1</v>
      </c>
      <c r="G125" s="20">
        <v>1</v>
      </c>
      <c r="H125" s="20">
        <v>2</v>
      </c>
      <c r="I125" s="20">
        <v>3</v>
      </c>
      <c r="J125" s="20">
        <v>3</v>
      </c>
      <c r="K125" s="20">
        <v>4</v>
      </c>
      <c r="L125" s="20">
        <v>4</v>
      </c>
      <c r="M125" s="20">
        <v>4</v>
      </c>
      <c r="N125" s="20">
        <v>4</v>
      </c>
      <c r="O125" s="20">
        <v>4</v>
      </c>
      <c r="Q125">
        <f t="shared" si="1"/>
        <v>30</v>
      </c>
    </row>
    <row r="126" spans="1:17" x14ac:dyDescent="0.3">
      <c r="A126" s="20" t="s">
        <v>89</v>
      </c>
      <c r="B126" s="20">
        <v>219881</v>
      </c>
      <c r="C126" s="32">
        <v>42886</v>
      </c>
      <c r="D126" s="20" t="s">
        <v>258</v>
      </c>
      <c r="E126" s="20">
        <v>1</v>
      </c>
      <c r="F126" s="20">
        <v>1</v>
      </c>
      <c r="G126" s="20">
        <v>2</v>
      </c>
      <c r="H126" s="20">
        <v>2</v>
      </c>
      <c r="I126" s="20">
        <v>2</v>
      </c>
      <c r="J126" s="20">
        <v>2</v>
      </c>
      <c r="K126" s="20">
        <v>3</v>
      </c>
      <c r="L126" s="20">
        <v>3</v>
      </c>
      <c r="M126" s="20">
        <v>3</v>
      </c>
      <c r="N126" s="20">
        <v>3</v>
      </c>
      <c r="O126" s="20">
        <v>3</v>
      </c>
      <c r="Q126">
        <f t="shared" si="1"/>
        <v>24</v>
      </c>
    </row>
    <row r="127" spans="1:17" x14ac:dyDescent="0.3">
      <c r="A127" s="20" t="s">
        <v>89</v>
      </c>
      <c r="B127" s="20">
        <v>219886</v>
      </c>
      <c r="C127" s="32">
        <v>42886</v>
      </c>
      <c r="D127" s="20" t="s">
        <v>258</v>
      </c>
      <c r="E127" s="20">
        <v>1</v>
      </c>
      <c r="F127" s="20">
        <v>1</v>
      </c>
      <c r="G127" s="20">
        <v>1</v>
      </c>
      <c r="H127" s="20">
        <v>2</v>
      </c>
      <c r="I127" s="20">
        <v>2</v>
      </c>
      <c r="J127" s="20">
        <v>2</v>
      </c>
      <c r="K127" s="20">
        <v>3</v>
      </c>
      <c r="L127" s="20">
        <v>3</v>
      </c>
      <c r="M127" s="20">
        <v>3</v>
      </c>
      <c r="N127" s="20">
        <v>3</v>
      </c>
      <c r="O127" s="20">
        <v>3</v>
      </c>
      <c r="Q127">
        <f t="shared" si="1"/>
        <v>23</v>
      </c>
    </row>
    <row r="128" spans="1:17" x14ac:dyDescent="0.3">
      <c r="A128" s="20" t="s">
        <v>89</v>
      </c>
      <c r="B128" s="20">
        <v>219887</v>
      </c>
      <c r="C128" s="32">
        <v>42886</v>
      </c>
      <c r="D128" s="20" t="s">
        <v>258</v>
      </c>
      <c r="E128" s="20">
        <v>1</v>
      </c>
      <c r="F128" s="20">
        <v>1</v>
      </c>
      <c r="G128" s="20">
        <v>1</v>
      </c>
      <c r="H128" s="20">
        <v>2</v>
      </c>
      <c r="I128" s="20">
        <v>2</v>
      </c>
      <c r="J128" s="20">
        <v>2</v>
      </c>
      <c r="K128" s="20">
        <v>2</v>
      </c>
      <c r="L128" s="20">
        <v>2</v>
      </c>
      <c r="M128" s="20">
        <v>2</v>
      </c>
      <c r="N128" s="20">
        <v>2</v>
      </c>
      <c r="O128" s="20">
        <v>2</v>
      </c>
      <c r="Q128">
        <f t="shared" si="1"/>
        <v>18</v>
      </c>
    </row>
    <row r="129" spans="1:17" x14ac:dyDescent="0.3">
      <c r="A129" s="20" t="s">
        <v>89</v>
      </c>
      <c r="B129" s="20">
        <v>219890</v>
      </c>
      <c r="C129" s="32">
        <v>42886</v>
      </c>
      <c r="D129" s="20" t="s">
        <v>258</v>
      </c>
      <c r="E129" s="20">
        <v>2</v>
      </c>
      <c r="F129" s="20">
        <v>2</v>
      </c>
      <c r="G129" s="20">
        <v>2</v>
      </c>
      <c r="H129" s="20">
        <v>3</v>
      </c>
      <c r="I129" s="20">
        <v>3</v>
      </c>
      <c r="J129" s="20">
        <v>3</v>
      </c>
      <c r="K129" s="20">
        <v>3</v>
      </c>
      <c r="L129" s="20">
        <v>3</v>
      </c>
      <c r="M129" s="20">
        <v>3</v>
      </c>
      <c r="N129" s="20">
        <v>3</v>
      </c>
      <c r="O129" s="20">
        <v>3</v>
      </c>
      <c r="Q129">
        <f t="shared" si="1"/>
        <v>28</v>
      </c>
    </row>
    <row r="130" spans="1:17" x14ac:dyDescent="0.3">
      <c r="A130" s="20" t="s">
        <v>89</v>
      </c>
      <c r="B130" s="20">
        <v>219892</v>
      </c>
      <c r="C130" s="32">
        <v>42886</v>
      </c>
      <c r="D130" s="20" t="s">
        <v>258</v>
      </c>
      <c r="E130" s="20">
        <v>3</v>
      </c>
      <c r="F130" s="20">
        <v>4</v>
      </c>
      <c r="G130" s="20">
        <v>4</v>
      </c>
      <c r="H130" s="20">
        <v>4</v>
      </c>
      <c r="I130" s="20">
        <v>4</v>
      </c>
      <c r="J130" s="20">
        <v>4</v>
      </c>
      <c r="K130" s="20">
        <v>4</v>
      </c>
      <c r="L130" s="20">
        <v>4</v>
      </c>
      <c r="M130" s="20">
        <v>4</v>
      </c>
      <c r="N130" s="20">
        <v>4</v>
      </c>
      <c r="O130" s="20">
        <v>4</v>
      </c>
      <c r="Q130">
        <f t="shared" si="1"/>
        <v>40</v>
      </c>
    </row>
    <row r="131" spans="1:17" x14ac:dyDescent="0.3">
      <c r="A131" s="20" t="s">
        <v>89</v>
      </c>
      <c r="B131" s="20">
        <v>219898</v>
      </c>
      <c r="C131" s="32">
        <v>42886</v>
      </c>
      <c r="D131" s="20" t="s">
        <v>263</v>
      </c>
      <c r="E131" s="20">
        <v>1</v>
      </c>
      <c r="F131" s="20">
        <v>1</v>
      </c>
      <c r="G131" s="20">
        <v>2</v>
      </c>
      <c r="H131" s="20">
        <v>2</v>
      </c>
      <c r="I131" s="20">
        <v>2</v>
      </c>
      <c r="J131" s="20">
        <v>2</v>
      </c>
      <c r="K131" s="20">
        <v>2</v>
      </c>
      <c r="L131" s="20">
        <v>2</v>
      </c>
      <c r="M131" s="20">
        <v>2</v>
      </c>
      <c r="N131" s="20">
        <v>2</v>
      </c>
      <c r="O131" s="20">
        <v>2</v>
      </c>
      <c r="Q131">
        <f t="shared" ref="Q131:Q194" si="2">SUM(F131:O131)</f>
        <v>19</v>
      </c>
    </row>
    <row r="132" spans="1:17" x14ac:dyDescent="0.3">
      <c r="A132" s="20" t="s">
        <v>89</v>
      </c>
      <c r="B132" s="20">
        <v>219406</v>
      </c>
      <c r="C132" s="32">
        <v>42886</v>
      </c>
      <c r="D132" s="20" t="s">
        <v>255</v>
      </c>
      <c r="E132" s="20">
        <v>29</v>
      </c>
      <c r="F132" s="20">
        <v>29</v>
      </c>
      <c r="G132" s="20">
        <v>30</v>
      </c>
      <c r="H132" s="20">
        <v>30</v>
      </c>
      <c r="I132" s="20">
        <v>30</v>
      </c>
      <c r="J132" s="20">
        <v>30</v>
      </c>
      <c r="K132" s="20">
        <v>30</v>
      </c>
      <c r="L132" s="20">
        <v>30</v>
      </c>
      <c r="M132" s="20">
        <v>30</v>
      </c>
      <c r="N132" s="20">
        <v>30</v>
      </c>
      <c r="O132" s="20">
        <v>30</v>
      </c>
      <c r="Q132">
        <f t="shared" si="2"/>
        <v>299</v>
      </c>
    </row>
    <row r="133" spans="1:17" x14ac:dyDescent="0.3">
      <c r="A133" s="20" t="s">
        <v>89</v>
      </c>
      <c r="B133" s="20">
        <v>219407</v>
      </c>
      <c r="C133" s="32">
        <v>42886</v>
      </c>
      <c r="D133" s="20" t="s">
        <v>255</v>
      </c>
      <c r="E133" s="20">
        <v>30</v>
      </c>
      <c r="F133" s="20">
        <v>30</v>
      </c>
      <c r="G133" s="20">
        <v>31</v>
      </c>
      <c r="H133" s="20">
        <v>31</v>
      </c>
      <c r="I133" s="20">
        <v>31</v>
      </c>
      <c r="J133" s="20">
        <v>31</v>
      </c>
      <c r="K133" s="20">
        <v>31</v>
      </c>
      <c r="L133" s="20">
        <v>31</v>
      </c>
      <c r="M133" s="20">
        <v>31</v>
      </c>
      <c r="N133" s="20">
        <v>31</v>
      </c>
      <c r="O133" s="20">
        <v>31</v>
      </c>
      <c r="Q133">
        <f t="shared" si="2"/>
        <v>309</v>
      </c>
    </row>
    <row r="134" spans="1:17" x14ac:dyDescent="0.3">
      <c r="A134" s="20" t="s">
        <v>89</v>
      </c>
      <c r="B134" s="20">
        <v>219408</v>
      </c>
      <c r="C134" s="32">
        <v>42886</v>
      </c>
      <c r="D134" s="20" t="s">
        <v>255</v>
      </c>
      <c r="E134" s="20">
        <v>20</v>
      </c>
      <c r="F134" s="20">
        <v>20</v>
      </c>
      <c r="G134" s="20">
        <v>21</v>
      </c>
      <c r="H134" s="20">
        <v>24</v>
      </c>
      <c r="I134" s="20">
        <v>27</v>
      </c>
      <c r="J134" s="20">
        <v>27</v>
      </c>
      <c r="K134" s="20">
        <v>28</v>
      </c>
      <c r="L134" s="20">
        <v>30</v>
      </c>
      <c r="M134" s="20">
        <v>32</v>
      </c>
      <c r="N134" s="20">
        <v>32</v>
      </c>
      <c r="O134" s="20">
        <v>32</v>
      </c>
      <c r="Q134">
        <f t="shared" si="2"/>
        <v>273</v>
      </c>
    </row>
    <row r="135" spans="1:17" x14ac:dyDescent="0.3">
      <c r="A135" s="20" t="s">
        <v>89</v>
      </c>
      <c r="B135" s="20">
        <v>219409</v>
      </c>
      <c r="C135" s="32">
        <v>42886</v>
      </c>
      <c r="D135" s="20" t="s">
        <v>255</v>
      </c>
      <c r="E135" s="20">
        <v>18</v>
      </c>
      <c r="F135" s="20">
        <v>18</v>
      </c>
      <c r="G135" s="20">
        <v>18</v>
      </c>
      <c r="H135" s="20">
        <v>21</v>
      </c>
      <c r="I135" s="20">
        <v>21</v>
      </c>
      <c r="J135" s="20">
        <v>23</v>
      </c>
      <c r="K135" s="20">
        <v>23</v>
      </c>
      <c r="L135" s="20">
        <v>23</v>
      </c>
      <c r="M135" s="20">
        <v>23</v>
      </c>
      <c r="N135" s="20">
        <v>23</v>
      </c>
      <c r="O135" s="20">
        <v>23</v>
      </c>
      <c r="Q135">
        <f t="shared" si="2"/>
        <v>216</v>
      </c>
    </row>
    <row r="136" spans="1:17" x14ac:dyDescent="0.3">
      <c r="A136" s="20" t="s">
        <v>89</v>
      </c>
      <c r="B136" s="20">
        <v>219410</v>
      </c>
      <c r="C136" s="32">
        <v>42886</v>
      </c>
      <c r="D136" s="20" t="s">
        <v>255</v>
      </c>
      <c r="E136" s="20">
        <v>4</v>
      </c>
      <c r="F136" s="20">
        <v>4</v>
      </c>
      <c r="G136" s="20">
        <v>8</v>
      </c>
      <c r="H136" s="20">
        <v>21</v>
      </c>
      <c r="I136" s="20">
        <v>25</v>
      </c>
      <c r="J136" s="20">
        <v>26</v>
      </c>
      <c r="K136" s="20">
        <v>26</v>
      </c>
      <c r="L136" s="20">
        <v>26</v>
      </c>
      <c r="M136" s="20">
        <v>26</v>
      </c>
      <c r="N136" s="20">
        <v>26</v>
      </c>
      <c r="O136" s="20">
        <v>26</v>
      </c>
      <c r="Q136">
        <f t="shared" si="2"/>
        <v>214</v>
      </c>
    </row>
    <row r="137" spans="1:17" x14ac:dyDescent="0.3">
      <c r="A137" s="20" t="s">
        <v>89</v>
      </c>
      <c r="B137" s="20">
        <v>219411</v>
      </c>
      <c r="C137" s="32">
        <v>42886</v>
      </c>
      <c r="D137" s="20" t="s">
        <v>255</v>
      </c>
      <c r="E137" s="20">
        <v>15</v>
      </c>
      <c r="F137" s="20">
        <v>15</v>
      </c>
      <c r="G137" s="20">
        <v>19</v>
      </c>
      <c r="H137" s="20">
        <v>24</v>
      </c>
      <c r="I137" s="20">
        <v>28</v>
      </c>
      <c r="J137" s="20">
        <v>28</v>
      </c>
      <c r="K137" s="20">
        <v>28</v>
      </c>
      <c r="L137" s="20">
        <v>28</v>
      </c>
      <c r="M137" s="20">
        <v>28</v>
      </c>
      <c r="N137" s="20">
        <v>28</v>
      </c>
      <c r="O137" s="20">
        <v>28</v>
      </c>
      <c r="Q137">
        <f t="shared" si="2"/>
        <v>254</v>
      </c>
    </row>
    <row r="138" spans="1:17" x14ac:dyDescent="0.3">
      <c r="A138" s="20" t="s">
        <v>89</v>
      </c>
      <c r="B138" s="20">
        <v>219412</v>
      </c>
      <c r="C138" s="32">
        <v>42886</v>
      </c>
      <c r="D138" s="20" t="s">
        <v>255</v>
      </c>
      <c r="E138" s="20">
        <v>12</v>
      </c>
      <c r="F138" s="20">
        <v>12</v>
      </c>
      <c r="G138" s="20">
        <v>15</v>
      </c>
      <c r="H138" s="20">
        <v>16</v>
      </c>
      <c r="I138" s="20">
        <v>18</v>
      </c>
      <c r="J138" s="20">
        <v>20</v>
      </c>
      <c r="K138" s="20">
        <v>23</v>
      </c>
      <c r="L138" s="20">
        <v>24</v>
      </c>
      <c r="M138" s="20">
        <v>24</v>
      </c>
      <c r="N138" s="20">
        <v>24</v>
      </c>
      <c r="O138" s="20">
        <v>24</v>
      </c>
      <c r="Q138">
        <f t="shared" si="2"/>
        <v>200</v>
      </c>
    </row>
    <row r="139" spans="1:17" x14ac:dyDescent="0.3">
      <c r="A139" s="20" t="s">
        <v>89</v>
      </c>
      <c r="B139" s="20">
        <v>219413</v>
      </c>
      <c r="C139" s="32">
        <v>42886</v>
      </c>
      <c r="D139" s="20" t="s">
        <v>255</v>
      </c>
      <c r="E139" s="20">
        <v>21</v>
      </c>
      <c r="F139" s="20">
        <v>21</v>
      </c>
      <c r="G139" s="20">
        <v>23</v>
      </c>
      <c r="H139" s="20">
        <v>24</v>
      </c>
      <c r="I139" s="20">
        <v>24</v>
      </c>
      <c r="J139" s="20">
        <v>24</v>
      </c>
      <c r="K139" s="20">
        <v>24</v>
      </c>
      <c r="L139" s="20">
        <v>24</v>
      </c>
      <c r="M139" s="20">
        <v>24</v>
      </c>
      <c r="N139" s="20">
        <v>24</v>
      </c>
      <c r="O139" s="20">
        <v>24</v>
      </c>
      <c r="Q139">
        <f t="shared" si="2"/>
        <v>236</v>
      </c>
    </row>
    <row r="140" spans="1:17" x14ac:dyDescent="0.3">
      <c r="A140" s="20" t="s">
        <v>89</v>
      </c>
      <c r="B140" s="20">
        <v>219414</v>
      </c>
      <c r="C140" s="32">
        <v>42886</v>
      </c>
      <c r="D140" s="20" t="s">
        <v>255</v>
      </c>
      <c r="E140" s="20">
        <v>21</v>
      </c>
      <c r="F140" s="20">
        <v>21</v>
      </c>
      <c r="G140" s="20">
        <v>22</v>
      </c>
      <c r="H140" s="20">
        <v>27</v>
      </c>
      <c r="I140" s="20">
        <v>29</v>
      </c>
      <c r="J140" s="20">
        <v>29</v>
      </c>
      <c r="K140" s="20">
        <v>29</v>
      </c>
      <c r="L140" s="20">
        <v>29</v>
      </c>
      <c r="M140" s="20">
        <v>29</v>
      </c>
      <c r="N140" s="20">
        <v>29</v>
      </c>
      <c r="O140" s="20">
        <v>29</v>
      </c>
      <c r="Q140">
        <f t="shared" si="2"/>
        <v>273</v>
      </c>
    </row>
    <row r="141" spans="1:17" x14ac:dyDescent="0.3">
      <c r="A141" s="20" t="s">
        <v>89</v>
      </c>
      <c r="B141" s="20">
        <v>219416</v>
      </c>
      <c r="C141" s="32">
        <v>42886</v>
      </c>
      <c r="D141" s="20" t="s">
        <v>255</v>
      </c>
      <c r="E141" s="20">
        <v>10</v>
      </c>
      <c r="F141" s="20">
        <v>10</v>
      </c>
      <c r="G141" s="20">
        <v>13</v>
      </c>
      <c r="H141" s="20">
        <v>23</v>
      </c>
      <c r="I141" s="20">
        <v>27</v>
      </c>
      <c r="J141" s="20">
        <v>30</v>
      </c>
      <c r="K141" s="20">
        <v>30</v>
      </c>
      <c r="L141" s="20">
        <v>30</v>
      </c>
      <c r="M141" s="20">
        <v>30</v>
      </c>
      <c r="N141" s="20">
        <v>30</v>
      </c>
      <c r="O141" s="20">
        <v>30</v>
      </c>
      <c r="Q141">
        <f t="shared" si="2"/>
        <v>253</v>
      </c>
    </row>
    <row r="142" spans="1:17" x14ac:dyDescent="0.3">
      <c r="A142" s="20" t="s">
        <v>89</v>
      </c>
      <c r="B142" s="20">
        <v>219417</v>
      </c>
      <c r="C142" s="32">
        <v>42886</v>
      </c>
      <c r="D142" s="20" t="s">
        <v>255</v>
      </c>
      <c r="E142" s="20">
        <v>3</v>
      </c>
      <c r="F142" s="20">
        <v>3</v>
      </c>
      <c r="G142" s="20">
        <v>3</v>
      </c>
      <c r="H142" s="20">
        <v>5</v>
      </c>
      <c r="I142" s="20">
        <v>6</v>
      </c>
      <c r="J142" s="20">
        <v>7</v>
      </c>
      <c r="K142" s="20">
        <v>14</v>
      </c>
      <c r="L142" s="20">
        <v>22</v>
      </c>
      <c r="M142" s="20">
        <v>24</v>
      </c>
      <c r="N142" s="20">
        <v>24</v>
      </c>
      <c r="O142" s="20">
        <v>24</v>
      </c>
      <c r="Q142">
        <f t="shared" si="2"/>
        <v>132</v>
      </c>
    </row>
    <row r="143" spans="1:17" x14ac:dyDescent="0.3">
      <c r="A143" s="20" t="s">
        <v>89</v>
      </c>
      <c r="B143" s="20">
        <v>219946</v>
      </c>
      <c r="C143" s="32">
        <v>42886</v>
      </c>
      <c r="D143" s="20" t="s">
        <v>257</v>
      </c>
      <c r="E143" s="20">
        <v>2</v>
      </c>
      <c r="F143" s="20">
        <v>2</v>
      </c>
      <c r="G143" s="20">
        <v>3</v>
      </c>
      <c r="H143" s="20">
        <v>3</v>
      </c>
      <c r="I143" s="20">
        <v>3</v>
      </c>
      <c r="J143" s="20">
        <v>4</v>
      </c>
      <c r="K143" s="20">
        <v>5</v>
      </c>
      <c r="L143" s="20">
        <v>5</v>
      </c>
      <c r="M143" s="20">
        <v>5</v>
      </c>
      <c r="N143" s="20">
        <v>5</v>
      </c>
      <c r="O143" s="20">
        <v>5</v>
      </c>
      <c r="Q143">
        <f t="shared" si="2"/>
        <v>40</v>
      </c>
    </row>
    <row r="144" spans="1:17" x14ac:dyDescent="0.3">
      <c r="A144" s="20" t="s">
        <v>89</v>
      </c>
      <c r="B144" s="20">
        <v>219952</v>
      </c>
      <c r="C144" s="32">
        <v>42886</v>
      </c>
      <c r="D144" s="20" t="s">
        <v>257</v>
      </c>
      <c r="E144" s="20">
        <v>1</v>
      </c>
      <c r="F144" s="20">
        <v>1</v>
      </c>
      <c r="G144" s="20">
        <v>2</v>
      </c>
      <c r="H144" s="20">
        <v>2</v>
      </c>
      <c r="I144" s="20">
        <v>2</v>
      </c>
      <c r="J144" s="20">
        <v>2</v>
      </c>
      <c r="K144" s="20">
        <v>2</v>
      </c>
      <c r="L144" s="20">
        <v>2</v>
      </c>
      <c r="M144" s="20">
        <v>2</v>
      </c>
      <c r="N144" s="20">
        <v>2</v>
      </c>
      <c r="O144" s="20">
        <v>2</v>
      </c>
      <c r="Q144">
        <f t="shared" si="2"/>
        <v>19</v>
      </c>
    </row>
    <row r="145" spans="1:17" x14ac:dyDescent="0.3">
      <c r="A145" s="20" t="s">
        <v>89</v>
      </c>
      <c r="B145" s="20">
        <v>219424</v>
      </c>
      <c r="C145" s="32">
        <v>42886</v>
      </c>
      <c r="D145" s="20" t="s">
        <v>255</v>
      </c>
      <c r="E145" s="20">
        <v>5</v>
      </c>
      <c r="F145" s="20">
        <v>5</v>
      </c>
      <c r="G145" s="20">
        <v>9</v>
      </c>
      <c r="H145" s="20">
        <v>14</v>
      </c>
      <c r="I145" s="20">
        <v>19</v>
      </c>
      <c r="J145" s="20">
        <v>22</v>
      </c>
      <c r="K145" s="20">
        <v>22</v>
      </c>
      <c r="L145" s="20">
        <v>23</v>
      </c>
      <c r="M145" s="20">
        <v>23</v>
      </c>
      <c r="N145" s="20">
        <v>23</v>
      </c>
      <c r="O145" s="20">
        <v>23</v>
      </c>
      <c r="Q145">
        <f t="shared" si="2"/>
        <v>183</v>
      </c>
    </row>
    <row r="146" spans="1:17" x14ac:dyDescent="0.3">
      <c r="A146" s="20" t="s">
        <v>89</v>
      </c>
      <c r="B146" s="20">
        <v>219425</v>
      </c>
      <c r="C146" s="32">
        <v>42886</v>
      </c>
      <c r="D146" s="20" t="s">
        <v>255</v>
      </c>
      <c r="E146" s="20">
        <v>6</v>
      </c>
      <c r="F146" s="20">
        <v>6</v>
      </c>
      <c r="G146" s="20">
        <v>9</v>
      </c>
      <c r="H146" s="20">
        <v>14</v>
      </c>
      <c r="I146" s="20">
        <v>15</v>
      </c>
      <c r="J146" s="20">
        <v>16</v>
      </c>
      <c r="K146" s="20">
        <v>17</v>
      </c>
      <c r="L146" s="20">
        <v>17</v>
      </c>
      <c r="M146" s="20">
        <v>17</v>
      </c>
      <c r="N146" s="20">
        <v>17</v>
      </c>
      <c r="O146" s="20">
        <v>17</v>
      </c>
      <c r="Q146">
        <f t="shared" si="2"/>
        <v>145</v>
      </c>
    </row>
    <row r="147" spans="1:17" x14ac:dyDescent="0.3">
      <c r="A147" s="20" t="s">
        <v>89</v>
      </c>
      <c r="B147" s="20">
        <v>219426</v>
      </c>
      <c r="C147" s="32">
        <v>42886</v>
      </c>
      <c r="D147" s="20" t="s">
        <v>255</v>
      </c>
      <c r="E147" s="20">
        <v>3</v>
      </c>
      <c r="F147" s="20">
        <v>3</v>
      </c>
      <c r="G147" s="20">
        <v>5</v>
      </c>
      <c r="H147" s="20">
        <v>9</v>
      </c>
      <c r="I147" s="20">
        <v>11</v>
      </c>
      <c r="J147" s="20">
        <v>12</v>
      </c>
      <c r="K147" s="20">
        <v>13</v>
      </c>
      <c r="L147" s="20">
        <v>13</v>
      </c>
      <c r="M147" s="20">
        <v>15</v>
      </c>
      <c r="N147" s="20">
        <v>17</v>
      </c>
      <c r="O147" s="20">
        <v>19</v>
      </c>
      <c r="Q147">
        <f t="shared" si="2"/>
        <v>117</v>
      </c>
    </row>
    <row r="148" spans="1:17" x14ac:dyDescent="0.3">
      <c r="A148" s="20" t="s">
        <v>89</v>
      </c>
      <c r="B148" s="20">
        <v>219427</v>
      </c>
      <c r="C148" s="32">
        <v>42886</v>
      </c>
      <c r="D148" s="20" t="s">
        <v>255</v>
      </c>
      <c r="E148" s="20">
        <v>12</v>
      </c>
      <c r="F148" s="20">
        <v>12</v>
      </c>
      <c r="G148" s="20">
        <v>17</v>
      </c>
      <c r="H148" s="20">
        <v>19</v>
      </c>
      <c r="I148" s="20">
        <v>19</v>
      </c>
      <c r="J148" s="20">
        <v>19</v>
      </c>
      <c r="K148" s="20">
        <v>19</v>
      </c>
      <c r="L148" s="20">
        <v>19</v>
      </c>
      <c r="M148" s="20">
        <v>19</v>
      </c>
      <c r="N148" s="20">
        <v>19</v>
      </c>
      <c r="O148" s="20">
        <v>19</v>
      </c>
      <c r="Q148">
        <f t="shared" si="2"/>
        <v>181</v>
      </c>
    </row>
    <row r="149" spans="1:17" x14ac:dyDescent="0.3">
      <c r="A149" s="20" t="s">
        <v>89</v>
      </c>
      <c r="B149" s="20">
        <v>219428</v>
      </c>
      <c r="C149" s="32">
        <v>42886</v>
      </c>
      <c r="D149" s="20" t="s">
        <v>255</v>
      </c>
      <c r="E149" s="20">
        <v>16</v>
      </c>
      <c r="F149" s="20">
        <v>16</v>
      </c>
      <c r="G149" s="20">
        <v>17</v>
      </c>
      <c r="H149" s="20">
        <v>20</v>
      </c>
      <c r="I149" s="20">
        <v>20</v>
      </c>
      <c r="J149" s="20">
        <v>20</v>
      </c>
      <c r="K149" s="20">
        <v>20</v>
      </c>
      <c r="L149" s="20">
        <v>20</v>
      </c>
      <c r="M149" s="20">
        <v>20</v>
      </c>
      <c r="N149" s="20">
        <v>20</v>
      </c>
      <c r="O149" s="20">
        <v>20</v>
      </c>
      <c r="Q149">
        <f t="shared" si="2"/>
        <v>193</v>
      </c>
    </row>
    <row r="150" spans="1:17" x14ac:dyDescent="0.3">
      <c r="A150" s="20" t="s">
        <v>89</v>
      </c>
      <c r="B150" s="20">
        <v>219429</v>
      </c>
      <c r="C150" s="32">
        <v>42886</v>
      </c>
      <c r="D150" s="20" t="s">
        <v>255</v>
      </c>
      <c r="E150" s="20">
        <v>12</v>
      </c>
      <c r="F150" s="20">
        <v>12</v>
      </c>
      <c r="G150" s="20">
        <v>22</v>
      </c>
      <c r="H150" s="20">
        <v>25</v>
      </c>
      <c r="I150" s="20">
        <v>27</v>
      </c>
      <c r="J150" s="20">
        <v>27</v>
      </c>
      <c r="K150" s="20">
        <v>27</v>
      </c>
      <c r="L150" s="20">
        <v>27</v>
      </c>
      <c r="M150" s="20">
        <v>27</v>
      </c>
      <c r="N150" s="20">
        <v>27</v>
      </c>
      <c r="O150" s="20">
        <v>27</v>
      </c>
      <c r="Q150">
        <f t="shared" si="2"/>
        <v>248</v>
      </c>
    </row>
    <row r="151" spans="1:17" x14ac:dyDescent="0.3">
      <c r="A151" s="20" t="s">
        <v>89</v>
      </c>
      <c r="B151" s="20">
        <v>219430</v>
      </c>
      <c r="C151" s="32">
        <v>42886</v>
      </c>
      <c r="D151" s="20" t="s">
        <v>255</v>
      </c>
      <c r="E151" s="20">
        <v>16</v>
      </c>
      <c r="F151" s="20">
        <v>16</v>
      </c>
      <c r="G151" s="20">
        <v>18</v>
      </c>
      <c r="H151" s="20">
        <v>24</v>
      </c>
      <c r="I151" s="20">
        <v>25</v>
      </c>
      <c r="J151" s="20">
        <v>28</v>
      </c>
      <c r="K151" s="20">
        <v>28</v>
      </c>
      <c r="L151" s="20">
        <v>28</v>
      </c>
      <c r="M151" s="20">
        <v>28</v>
      </c>
      <c r="N151" s="20">
        <v>28</v>
      </c>
      <c r="O151" s="20">
        <v>28</v>
      </c>
      <c r="Q151">
        <f t="shared" si="2"/>
        <v>251</v>
      </c>
    </row>
    <row r="152" spans="1:17" x14ac:dyDescent="0.3">
      <c r="A152" s="20" t="s">
        <v>89</v>
      </c>
      <c r="B152" s="20">
        <v>219431</v>
      </c>
      <c r="C152" s="32">
        <v>42886</v>
      </c>
      <c r="D152" s="20" t="s">
        <v>255</v>
      </c>
      <c r="E152" s="20">
        <v>7</v>
      </c>
      <c r="F152" s="20">
        <v>7</v>
      </c>
      <c r="G152" s="20">
        <v>9</v>
      </c>
      <c r="H152" s="20">
        <v>16</v>
      </c>
      <c r="I152" s="20">
        <v>16</v>
      </c>
      <c r="J152" s="20">
        <v>16</v>
      </c>
      <c r="K152" s="20">
        <v>16</v>
      </c>
      <c r="L152" s="20">
        <v>16</v>
      </c>
      <c r="M152" s="20">
        <v>16</v>
      </c>
      <c r="N152" s="20">
        <v>16</v>
      </c>
      <c r="O152" s="20">
        <v>16</v>
      </c>
      <c r="Q152">
        <f t="shared" si="2"/>
        <v>144</v>
      </c>
    </row>
    <row r="153" spans="1:17" x14ac:dyDescent="0.3">
      <c r="A153" s="20" t="s">
        <v>89</v>
      </c>
      <c r="B153" s="20">
        <v>219432</v>
      </c>
      <c r="C153" s="32">
        <v>42886</v>
      </c>
      <c r="D153" s="20" t="s">
        <v>255</v>
      </c>
      <c r="E153" s="20">
        <v>11</v>
      </c>
      <c r="F153" s="20">
        <v>11</v>
      </c>
      <c r="G153" s="20">
        <v>14</v>
      </c>
      <c r="H153" s="20">
        <v>18</v>
      </c>
      <c r="I153" s="20">
        <v>20</v>
      </c>
      <c r="J153" s="20">
        <v>20</v>
      </c>
      <c r="K153" s="20">
        <v>20</v>
      </c>
      <c r="L153" s="20">
        <v>20</v>
      </c>
      <c r="M153" s="20">
        <v>20</v>
      </c>
      <c r="N153" s="20">
        <v>20</v>
      </c>
      <c r="O153" s="20">
        <v>20</v>
      </c>
      <c r="Q153">
        <f t="shared" si="2"/>
        <v>183</v>
      </c>
    </row>
    <row r="154" spans="1:17" x14ac:dyDescent="0.3">
      <c r="A154" s="20" t="s">
        <v>89</v>
      </c>
      <c r="B154" s="20">
        <v>219433</v>
      </c>
      <c r="C154" s="32">
        <v>42886</v>
      </c>
      <c r="D154" s="20" t="s">
        <v>255</v>
      </c>
      <c r="E154" s="20">
        <v>7</v>
      </c>
      <c r="F154" s="20">
        <v>7</v>
      </c>
      <c r="G154" s="20">
        <v>10</v>
      </c>
      <c r="H154" s="20">
        <v>17</v>
      </c>
      <c r="I154" s="20">
        <v>18</v>
      </c>
      <c r="J154" s="20">
        <v>20</v>
      </c>
      <c r="K154" s="20">
        <v>20</v>
      </c>
      <c r="L154" s="20">
        <v>20</v>
      </c>
      <c r="M154" s="20">
        <v>20</v>
      </c>
      <c r="N154" s="20">
        <v>20</v>
      </c>
      <c r="O154" s="20">
        <v>20</v>
      </c>
      <c r="Q154">
        <f t="shared" si="2"/>
        <v>172</v>
      </c>
    </row>
    <row r="155" spans="1:17" x14ac:dyDescent="0.3">
      <c r="A155" s="20" t="s">
        <v>89</v>
      </c>
      <c r="B155" s="20">
        <v>219434</v>
      </c>
      <c r="C155" s="32">
        <v>42886</v>
      </c>
      <c r="D155" s="20" t="s">
        <v>255</v>
      </c>
      <c r="E155" s="20">
        <v>8</v>
      </c>
      <c r="F155" s="20">
        <v>8</v>
      </c>
      <c r="G155" s="20">
        <v>8</v>
      </c>
      <c r="H155" s="20">
        <v>15</v>
      </c>
      <c r="I155" s="20">
        <v>21</v>
      </c>
      <c r="J155" s="20">
        <v>26</v>
      </c>
      <c r="K155" s="20">
        <v>27</v>
      </c>
      <c r="L155" s="20">
        <v>27</v>
      </c>
      <c r="M155" s="20">
        <v>27</v>
      </c>
      <c r="N155" s="20">
        <v>27</v>
      </c>
      <c r="O155" s="20">
        <v>27</v>
      </c>
      <c r="Q155">
        <f t="shared" si="2"/>
        <v>213</v>
      </c>
    </row>
    <row r="156" spans="1:17" x14ac:dyDescent="0.3">
      <c r="A156" s="20" t="s">
        <v>89</v>
      </c>
      <c r="B156" s="20">
        <v>219435</v>
      </c>
      <c r="C156" s="32">
        <v>42886</v>
      </c>
      <c r="D156" s="20" t="s">
        <v>255</v>
      </c>
      <c r="E156" s="20">
        <v>20</v>
      </c>
      <c r="F156" s="20">
        <v>20</v>
      </c>
      <c r="G156" s="20">
        <v>21</v>
      </c>
      <c r="H156" s="20">
        <v>24</v>
      </c>
      <c r="I156" s="20">
        <v>28</v>
      </c>
      <c r="J156" s="20">
        <v>28</v>
      </c>
      <c r="K156" s="20">
        <v>28</v>
      </c>
      <c r="L156" s="20">
        <v>28</v>
      </c>
      <c r="M156" s="20">
        <v>28</v>
      </c>
      <c r="N156" s="20">
        <v>28</v>
      </c>
      <c r="O156" s="20">
        <v>28</v>
      </c>
      <c r="Q156">
        <f t="shared" si="2"/>
        <v>261</v>
      </c>
    </row>
    <row r="157" spans="1:17" x14ac:dyDescent="0.3">
      <c r="A157" s="20" t="s">
        <v>89</v>
      </c>
      <c r="B157" s="20">
        <v>219953</v>
      </c>
      <c r="C157" s="32">
        <v>42886</v>
      </c>
      <c r="D157" s="20" t="s">
        <v>257</v>
      </c>
      <c r="E157" s="20">
        <v>1</v>
      </c>
      <c r="F157" s="20">
        <v>1</v>
      </c>
      <c r="G157" s="20">
        <v>2</v>
      </c>
      <c r="H157" s="20">
        <v>2</v>
      </c>
      <c r="I157" s="20">
        <v>2</v>
      </c>
      <c r="J157" s="20">
        <v>2</v>
      </c>
      <c r="K157" s="20">
        <v>3</v>
      </c>
      <c r="L157" s="20">
        <v>3</v>
      </c>
      <c r="M157" s="20">
        <v>3</v>
      </c>
      <c r="N157" s="20">
        <v>3</v>
      </c>
      <c r="O157" s="20">
        <v>3</v>
      </c>
      <c r="Q157">
        <f t="shared" si="2"/>
        <v>24</v>
      </c>
    </row>
    <row r="158" spans="1:17" x14ac:dyDescent="0.3">
      <c r="A158" s="20" t="s">
        <v>89</v>
      </c>
      <c r="B158" s="20">
        <v>219954</v>
      </c>
      <c r="C158" s="32">
        <v>42886</v>
      </c>
      <c r="D158" s="20" t="s">
        <v>257</v>
      </c>
      <c r="E158" s="20">
        <v>1</v>
      </c>
      <c r="F158" s="20">
        <v>1</v>
      </c>
      <c r="G158" s="20">
        <v>1</v>
      </c>
      <c r="H158" s="20">
        <v>2</v>
      </c>
      <c r="I158" s="20">
        <v>2</v>
      </c>
      <c r="J158" s="20">
        <v>2</v>
      </c>
      <c r="K158" s="20">
        <v>2</v>
      </c>
      <c r="L158" s="20">
        <v>2</v>
      </c>
      <c r="M158" s="20">
        <v>2</v>
      </c>
      <c r="N158" s="20">
        <v>3</v>
      </c>
      <c r="O158" s="20">
        <v>6</v>
      </c>
      <c r="Q158">
        <f t="shared" si="2"/>
        <v>23</v>
      </c>
    </row>
    <row r="159" spans="1:17" x14ac:dyDescent="0.3">
      <c r="A159" s="20" t="s">
        <v>89</v>
      </c>
      <c r="B159" s="20">
        <v>219955</v>
      </c>
      <c r="C159" s="32">
        <v>42886</v>
      </c>
      <c r="D159" s="20" t="s">
        <v>257</v>
      </c>
      <c r="E159" s="20">
        <v>2</v>
      </c>
      <c r="F159" s="20">
        <v>2</v>
      </c>
      <c r="G159" s="20">
        <v>3</v>
      </c>
      <c r="H159" s="20">
        <v>3</v>
      </c>
      <c r="I159" s="20">
        <v>3</v>
      </c>
      <c r="J159" s="20">
        <v>3</v>
      </c>
      <c r="K159" s="20">
        <v>3</v>
      </c>
      <c r="L159" s="20">
        <v>3</v>
      </c>
      <c r="M159" s="20">
        <v>3</v>
      </c>
      <c r="N159" s="20">
        <v>3</v>
      </c>
      <c r="O159" s="20">
        <v>3</v>
      </c>
      <c r="Q159">
        <f t="shared" si="2"/>
        <v>29</v>
      </c>
    </row>
    <row r="160" spans="1:17" x14ac:dyDescent="0.3">
      <c r="A160" s="20" t="s">
        <v>89</v>
      </c>
      <c r="B160" s="20">
        <v>219970</v>
      </c>
      <c r="C160" s="32">
        <v>42886</v>
      </c>
      <c r="D160" s="20" t="s">
        <v>257</v>
      </c>
      <c r="E160" s="20">
        <v>1</v>
      </c>
      <c r="F160" s="20">
        <v>1</v>
      </c>
      <c r="G160" s="20">
        <v>2</v>
      </c>
      <c r="H160" s="20">
        <v>2</v>
      </c>
      <c r="I160" s="20">
        <v>2</v>
      </c>
      <c r="J160" s="20">
        <v>2</v>
      </c>
      <c r="K160" s="20">
        <v>2</v>
      </c>
      <c r="L160" s="20">
        <v>2</v>
      </c>
      <c r="M160" s="20">
        <v>2</v>
      </c>
      <c r="N160" s="20">
        <v>2</v>
      </c>
      <c r="O160" s="20">
        <v>2</v>
      </c>
      <c r="Q160">
        <f t="shared" si="2"/>
        <v>19</v>
      </c>
    </row>
    <row r="161" spans="1:17" x14ac:dyDescent="0.3">
      <c r="A161" s="20" t="s">
        <v>89</v>
      </c>
      <c r="B161" s="20">
        <v>219505</v>
      </c>
      <c r="C161" s="32">
        <v>42886</v>
      </c>
      <c r="D161" s="20" t="s">
        <v>254</v>
      </c>
      <c r="E161" s="20">
        <v>1</v>
      </c>
      <c r="F161" s="20">
        <v>0</v>
      </c>
      <c r="G161" s="20">
        <v>0</v>
      </c>
      <c r="H161" s="20">
        <v>0</v>
      </c>
      <c r="I161" s="20">
        <v>0</v>
      </c>
      <c r="J161" s="20">
        <v>0</v>
      </c>
      <c r="K161" s="20">
        <v>0</v>
      </c>
      <c r="L161" s="20">
        <v>1</v>
      </c>
      <c r="M161" s="20">
        <v>1</v>
      </c>
      <c r="N161" s="20">
        <v>1</v>
      </c>
      <c r="O161" s="20">
        <v>1</v>
      </c>
      <c r="Q161">
        <f t="shared" si="2"/>
        <v>4</v>
      </c>
    </row>
    <row r="162" spans="1:17" x14ac:dyDescent="0.3">
      <c r="A162" s="20" t="s">
        <v>89</v>
      </c>
      <c r="B162" s="20">
        <v>219506</v>
      </c>
      <c r="C162" s="32">
        <v>42886</v>
      </c>
      <c r="D162" s="20" t="s">
        <v>254</v>
      </c>
      <c r="E162" s="20">
        <v>1</v>
      </c>
      <c r="F162" s="20">
        <v>0</v>
      </c>
      <c r="G162" s="20">
        <v>0</v>
      </c>
      <c r="H162" s="20">
        <v>0</v>
      </c>
      <c r="I162" s="20">
        <v>0</v>
      </c>
      <c r="J162" s="20">
        <v>1</v>
      </c>
      <c r="K162" s="20">
        <v>1</v>
      </c>
      <c r="L162" s="20">
        <v>1</v>
      </c>
      <c r="M162" s="20">
        <v>1</v>
      </c>
      <c r="N162" s="20">
        <v>1</v>
      </c>
      <c r="O162" s="20">
        <v>1</v>
      </c>
      <c r="Q162">
        <f t="shared" si="2"/>
        <v>6</v>
      </c>
    </row>
    <row r="163" spans="1:17" x14ac:dyDescent="0.3">
      <c r="A163" s="20" t="s">
        <v>89</v>
      </c>
      <c r="B163" s="20">
        <v>219508</v>
      </c>
      <c r="C163" s="32">
        <v>42886</v>
      </c>
      <c r="D163" s="20" t="s">
        <v>254</v>
      </c>
      <c r="E163" s="20">
        <v>2</v>
      </c>
      <c r="F163" s="20">
        <v>0</v>
      </c>
      <c r="G163" s="20">
        <v>0</v>
      </c>
      <c r="H163" s="20">
        <v>0</v>
      </c>
      <c r="I163" s="20">
        <v>0</v>
      </c>
      <c r="J163" s="20">
        <v>0</v>
      </c>
      <c r="K163" s="20">
        <v>2</v>
      </c>
      <c r="L163" s="20">
        <v>2</v>
      </c>
      <c r="M163" s="20">
        <v>2</v>
      </c>
      <c r="N163" s="20">
        <v>2</v>
      </c>
      <c r="O163" s="20">
        <v>2</v>
      </c>
      <c r="Q163">
        <f t="shared" si="2"/>
        <v>10</v>
      </c>
    </row>
    <row r="164" spans="1:17" x14ac:dyDescent="0.3">
      <c r="A164" s="20" t="s">
        <v>89</v>
      </c>
      <c r="B164" s="20">
        <v>219552</v>
      </c>
      <c r="C164" s="32">
        <v>42886</v>
      </c>
      <c r="D164" s="20" t="s">
        <v>253</v>
      </c>
      <c r="E164" s="20">
        <v>62</v>
      </c>
      <c r="F164" s="20">
        <v>62</v>
      </c>
      <c r="G164" s="20">
        <v>71</v>
      </c>
      <c r="H164" s="20">
        <v>94</v>
      </c>
      <c r="I164" s="20">
        <v>101</v>
      </c>
      <c r="J164" s="20">
        <v>118</v>
      </c>
      <c r="K164" s="20">
        <v>139</v>
      </c>
      <c r="L164" s="20">
        <v>141</v>
      </c>
      <c r="M164" s="20">
        <v>142</v>
      </c>
      <c r="N164" s="20">
        <v>142</v>
      </c>
      <c r="O164" s="20">
        <v>142</v>
      </c>
      <c r="Q164">
        <f t="shared" si="2"/>
        <v>1152</v>
      </c>
    </row>
    <row r="165" spans="1:17" x14ac:dyDescent="0.3">
      <c r="A165" s="20" t="s">
        <v>89</v>
      </c>
      <c r="B165" s="20">
        <v>219556</v>
      </c>
      <c r="C165" s="32">
        <v>42886</v>
      </c>
      <c r="D165" s="20" t="s">
        <v>253</v>
      </c>
      <c r="E165" s="20">
        <v>98</v>
      </c>
      <c r="F165" s="20">
        <v>98</v>
      </c>
      <c r="G165" s="20">
        <v>98</v>
      </c>
      <c r="H165" s="20">
        <v>105</v>
      </c>
      <c r="I165" s="20">
        <v>110</v>
      </c>
      <c r="J165" s="20">
        <v>145</v>
      </c>
      <c r="K165" s="20">
        <v>165</v>
      </c>
      <c r="L165" s="20">
        <v>165</v>
      </c>
      <c r="M165" s="20">
        <v>165</v>
      </c>
      <c r="N165" s="20">
        <v>165</v>
      </c>
      <c r="O165" s="20">
        <v>165</v>
      </c>
      <c r="Q165">
        <f t="shared" si="2"/>
        <v>1381</v>
      </c>
    </row>
    <row r="166" spans="1:17" x14ac:dyDescent="0.3">
      <c r="A166" s="20" t="s">
        <v>89</v>
      </c>
      <c r="B166" s="20">
        <v>219558</v>
      </c>
      <c r="C166" s="32">
        <v>42886</v>
      </c>
      <c r="D166" s="20" t="s">
        <v>253</v>
      </c>
      <c r="E166" s="20">
        <v>154</v>
      </c>
      <c r="F166" s="20">
        <v>154</v>
      </c>
      <c r="G166" s="20">
        <v>155</v>
      </c>
      <c r="H166" s="20">
        <v>156</v>
      </c>
      <c r="I166" s="20">
        <v>156</v>
      </c>
      <c r="J166" s="20">
        <v>156</v>
      </c>
      <c r="K166" s="20">
        <v>156</v>
      </c>
      <c r="L166" s="20">
        <v>156</v>
      </c>
      <c r="M166" s="20">
        <v>156</v>
      </c>
      <c r="N166" s="20">
        <v>156</v>
      </c>
      <c r="O166" s="20">
        <v>156</v>
      </c>
      <c r="Q166">
        <f t="shared" si="2"/>
        <v>1557</v>
      </c>
    </row>
    <row r="167" spans="1:17" x14ac:dyDescent="0.3">
      <c r="A167" s="20" t="s">
        <v>89</v>
      </c>
      <c r="B167" s="20">
        <v>219559</v>
      </c>
      <c r="C167" s="32">
        <v>42886</v>
      </c>
      <c r="D167" s="20" t="s">
        <v>253</v>
      </c>
      <c r="E167" s="20">
        <v>42</v>
      </c>
      <c r="F167" s="20">
        <v>42</v>
      </c>
      <c r="G167" s="20">
        <v>43</v>
      </c>
      <c r="H167" s="20">
        <v>54</v>
      </c>
      <c r="I167" s="20">
        <v>67</v>
      </c>
      <c r="J167" s="20">
        <v>95</v>
      </c>
      <c r="K167" s="20">
        <v>113</v>
      </c>
      <c r="L167" s="20">
        <v>126</v>
      </c>
      <c r="M167" s="20">
        <v>148</v>
      </c>
      <c r="N167" s="20">
        <v>148</v>
      </c>
      <c r="O167" s="20">
        <v>148</v>
      </c>
      <c r="Q167">
        <f t="shared" si="2"/>
        <v>984</v>
      </c>
    </row>
    <row r="168" spans="1:17" x14ac:dyDescent="0.3">
      <c r="A168" s="20" t="s">
        <v>89</v>
      </c>
      <c r="B168" s="20">
        <v>219570</v>
      </c>
      <c r="C168" s="32">
        <v>42886</v>
      </c>
      <c r="D168" s="20" t="s">
        <v>253</v>
      </c>
      <c r="E168" s="20">
        <v>11</v>
      </c>
      <c r="F168" s="20">
        <v>11</v>
      </c>
      <c r="G168" s="20">
        <v>22</v>
      </c>
      <c r="H168" s="20">
        <v>46</v>
      </c>
      <c r="I168" s="20">
        <v>85</v>
      </c>
      <c r="J168" s="20">
        <v>122</v>
      </c>
      <c r="K168" s="20">
        <v>132</v>
      </c>
      <c r="L168" s="20">
        <v>139</v>
      </c>
      <c r="M168" s="20">
        <v>142</v>
      </c>
      <c r="N168" s="20">
        <v>155</v>
      </c>
      <c r="O168" s="20">
        <v>158</v>
      </c>
      <c r="Q168">
        <f t="shared" si="2"/>
        <v>1012</v>
      </c>
    </row>
    <row r="169" spans="1:17" x14ac:dyDescent="0.3">
      <c r="A169" s="20" t="s">
        <v>89</v>
      </c>
      <c r="B169" s="20">
        <v>219571</v>
      </c>
      <c r="C169" s="32">
        <v>42886</v>
      </c>
      <c r="D169" s="20" t="s">
        <v>253</v>
      </c>
      <c r="E169" s="20">
        <v>91</v>
      </c>
      <c r="F169" s="20">
        <v>91</v>
      </c>
      <c r="G169" s="20">
        <v>106</v>
      </c>
      <c r="H169" s="20">
        <v>162</v>
      </c>
      <c r="I169" s="20">
        <v>164</v>
      </c>
      <c r="J169" s="20">
        <v>164</v>
      </c>
      <c r="K169" s="20">
        <v>164</v>
      </c>
      <c r="L169" s="20">
        <v>164</v>
      </c>
      <c r="M169" s="20">
        <v>164</v>
      </c>
      <c r="N169" s="20">
        <v>164</v>
      </c>
      <c r="O169" s="20">
        <v>164</v>
      </c>
      <c r="Q169">
        <f t="shared" si="2"/>
        <v>1507</v>
      </c>
    </row>
    <row r="170" spans="1:17" x14ac:dyDescent="0.3">
      <c r="A170" s="20" t="s">
        <v>89</v>
      </c>
      <c r="B170" s="20">
        <v>219572</v>
      </c>
      <c r="C170" s="32">
        <v>42886</v>
      </c>
      <c r="D170" s="20" t="s">
        <v>253</v>
      </c>
      <c r="E170" s="20">
        <v>85</v>
      </c>
      <c r="F170" s="20">
        <v>85</v>
      </c>
      <c r="G170" s="20">
        <v>97</v>
      </c>
      <c r="H170" s="20">
        <v>153</v>
      </c>
      <c r="I170" s="20">
        <v>158</v>
      </c>
      <c r="J170" s="20">
        <v>158</v>
      </c>
      <c r="K170" s="20">
        <v>158</v>
      </c>
      <c r="L170" s="20">
        <v>158</v>
      </c>
      <c r="M170" s="20">
        <v>158</v>
      </c>
      <c r="N170" s="20">
        <v>158</v>
      </c>
      <c r="O170" s="20">
        <v>158</v>
      </c>
      <c r="Q170">
        <f t="shared" si="2"/>
        <v>1441</v>
      </c>
    </row>
    <row r="171" spans="1:17" x14ac:dyDescent="0.3">
      <c r="A171" s="20" t="s">
        <v>89</v>
      </c>
      <c r="B171" s="20">
        <v>219573</v>
      </c>
      <c r="C171" s="32">
        <v>42886</v>
      </c>
      <c r="D171" s="20" t="s">
        <v>253</v>
      </c>
      <c r="E171" s="20">
        <v>15</v>
      </c>
      <c r="F171" s="20">
        <v>15</v>
      </c>
      <c r="G171" s="20">
        <v>25</v>
      </c>
      <c r="H171" s="20">
        <v>117</v>
      </c>
      <c r="I171" s="20">
        <v>175</v>
      </c>
      <c r="J171" s="20">
        <v>175</v>
      </c>
      <c r="K171" s="20">
        <v>175</v>
      </c>
      <c r="L171" s="20">
        <v>175</v>
      </c>
      <c r="M171" s="20">
        <v>175</v>
      </c>
      <c r="N171" s="20">
        <v>175</v>
      </c>
      <c r="O171" s="20">
        <v>175</v>
      </c>
      <c r="Q171">
        <f t="shared" si="2"/>
        <v>1382</v>
      </c>
    </row>
    <row r="172" spans="1:17" x14ac:dyDescent="0.3">
      <c r="A172" s="20" t="s">
        <v>89</v>
      </c>
      <c r="B172" s="20">
        <v>219577</v>
      </c>
      <c r="C172" s="32">
        <v>42886</v>
      </c>
      <c r="D172" s="20" t="s">
        <v>253</v>
      </c>
      <c r="E172" s="20">
        <v>146</v>
      </c>
      <c r="F172" s="20">
        <v>146</v>
      </c>
      <c r="G172" s="20">
        <v>150</v>
      </c>
      <c r="H172" s="20">
        <v>155</v>
      </c>
      <c r="I172" s="20">
        <v>155</v>
      </c>
      <c r="J172" s="20">
        <v>155</v>
      </c>
      <c r="K172" s="20">
        <v>155</v>
      </c>
      <c r="L172" s="20">
        <v>155</v>
      </c>
      <c r="M172" s="20">
        <v>155</v>
      </c>
      <c r="N172" s="20">
        <v>155</v>
      </c>
      <c r="O172" s="20">
        <v>155</v>
      </c>
      <c r="Q172">
        <f t="shared" si="2"/>
        <v>1536</v>
      </c>
    </row>
    <row r="173" spans="1:17" x14ac:dyDescent="0.3">
      <c r="A173" s="20" t="s">
        <v>89</v>
      </c>
      <c r="B173" s="20">
        <v>176833</v>
      </c>
      <c r="C173" s="32">
        <v>42885</v>
      </c>
      <c r="D173" s="20" t="s">
        <v>261</v>
      </c>
      <c r="E173" s="20">
        <v>1</v>
      </c>
      <c r="F173" s="20">
        <v>1</v>
      </c>
      <c r="G173" s="20">
        <v>1</v>
      </c>
      <c r="H173" s="20">
        <v>3</v>
      </c>
      <c r="I173" s="20">
        <v>3</v>
      </c>
      <c r="J173" s="20">
        <v>3</v>
      </c>
      <c r="K173" s="20">
        <v>3</v>
      </c>
      <c r="L173" s="20">
        <v>3</v>
      </c>
      <c r="M173" s="20">
        <v>4</v>
      </c>
      <c r="N173" s="20">
        <v>4</v>
      </c>
      <c r="O173" s="20">
        <v>4</v>
      </c>
      <c r="Q173">
        <f t="shared" si="2"/>
        <v>29</v>
      </c>
    </row>
    <row r="174" spans="1:17" x14ac:dyDescent="0.3">
      <c r="A174" s="20" t="s">
        <v>89</v>
      </c>
      <c r="B174" s="20">
        <v>176752</v>
      </c>
      <c r="C174" s="32">
        <v>42885</v>
      </c>
      <c r="D174" s="20" t="s">
        <v>259</v>
      </c>
      <c r="E174" s="20">
        <v>3</v>
      </c>
      <c r="F174" s="20">
        <v>4</v>
      </c>
      <c r="G174" s="20">
        <v>4</v>
      </c>
      <c r="H174" s="20">
        <v>4</v>
      </c>
      <c r="I174" s="20">
        <v>4</v>
      </c>
      <c r="J174" s="20">
        <v>4</v>
      </c>
      <c r="K174" s="20">
        <v>4</v>
      </c>
      <c r="L174" s="20">
        <v>4</v>
      </c>
      <c r="M174" s="20">
        <v>4</v>
      </c>
      <c r="N174" s="20">
        <v>4</v>
      </c>
      <c r="O174" s="20">
        <v>4</v>
      </c>
      <c r="Q174">
        <f t="shared" si="2"/>
        <v>40</v>
      </c>
    </row>
    <row r="175" spans="1:17" x14ac:dyDescent="0.3">
      <c r="A175" s="20" t="s">
        <v>89</v>
      </c>
      <c r="B175" s="20">
        <v>176754</v>
      </c>
      <c r="C175" s="32">
        <v>42885</v>
      </c>
      <c r="D175" s="20" t="s">
        <v>259</v>
      </c>
      <c r="E175" s="20">
        <v>1</v>
      </c>
      <c r="F175" s="20">
        <v>1</v>
      </c>
      <c r="G175" s="20">
        <v>1</v>
      </c>
      <c r="H175" s="20">
        <v>2</v>
      </c>
      <c r="I175" s="20">
        <v>2</v>
      </c>
      <c r="J175" s="20">
        <v>2</v>
      </c>
      <c r="K175" s="20">
        <v>2</v>
      </c>
      <c r="L175" s="20">
        <v>2</v>
      </c>
      <c r="M175" s="20">
        <v>2</v>
      </c>
      <c r="N175" s="20">
        <v>2</v>
      </c>
      <c r="O175" s="20">
        <v>2</v>
      </c>
      <c r="Q175">
        <f t="shared" si="2"/>
        <v>18</v>
      </c>
    </row>
    <row r="176" spans="1:17" x14ac:dyDescent="0.3">
      <c r="A176" s="20" t="s">
        <v>89</v>
      </c>
      <c r="B176" s="20">
        <v>176776</v>
      </c>
      <c r="C176" s="32">
        <v>42885</v>
      </c>
      <c r="D176" s="20" t="s">
        <v>259</v>
      </c>
      <c r="E176" s="20">
        <v>1</v>
      </c>
      <c r="F176" s="20">
        <v>1</v>
      </c>
      <c r="G176" s="20">
        <v>2</v>
      </c>
      <c r="H176" s="20">
        <v>2</v>
      </c>
      <c r="I176" s="20">
        <v>2</v>
      </c>
      <c r="J176" s="20">
        <v>2</v>
      </c>
      <c r="K176" s="20">
        <v>2</v>
      </c>
      <c r="L176" s="20">
        <v>2</v>
      </c>
      <c r="M176" s="20">
        <v>2</v>
      </c>
      <c r="N176" s="20">
        <v>2</v>
      </c>
      <c r="O176" s="20">
        <v>2</v>
      </c>
      <c r="Q176">
        <f t="shared" si="2"/>
        <v>19</v>
      </c>
    </row>
    <row r="177" spans="1:17" x14ac:dyDescent="0.3">
      <c r="A177" s="20" t="s">
        <v>89</v>
      </c>
      <c r="B177" s="20">
        <v>176795</v>
      </c>
      <c r="C177" s="32">
        <v>42885</v>
      </c>
      <c r="D177" s="20" t="s">
        <v>256</v>
      </c>
      <c r="E177" s="20">
        <v>1</v>
      </c>
      <c r="F177" s="20">
        <v>1</v>
      </c>
      <c r="G177" s="20">
        <v>1</v>
      </c>
      <c r="H177" s="20">
        <v>2</v>
      </c>
      <c r="I177" s="20">
        <v>2</v>
      </c>
      <c r="J177" s="20">
        <v>2</v>
      </c>
      <c r="K177" s="20">
        <v>2</v>
      </c>
      <c r="L177" s="20">
        <v>2</v>
      </c>
      <c r="M177" s="20">
        <v>2</v>
      </c>
      <c r="N177" s="20">
        <v>2</v>
      </c>
      <c r="O177" s="20">
        <v>2</v>
      </c>
      <c r="Q177">
        <f t="shared" si="2"/>
        <v>18</v>
      </c>
    </row>
    <row r="178" spans="1:17" x14ac:dyDescent="0.3">
      <c r="A178" s="20" t="s">
        <v>89</v>
      </c>
      <c r="B178" s="20">
        <v>176431</v>
      </c>
      <c r="C178" s="32">
        <v>42885</v>
      </c>
      <c r="D178" s="20" t="s">
        <v>255</v>
      </c>
      <c r="E178" s="20">
        <v>21</v>
      </c>
      <c r="F178" s="20">
        <v>21</v>
      </c>
      <c r="G178" s="20">
        <v>21</v>
      </c>
      <c r="H178" s="20">
        <v>23</v>
      </c>
      <c r="I178" s="20">
        <v>24</v>
      </c>
      <c r="J178" s="20">
        <v>25</v>
      </c>
      <c r="K178" s="20">
        <v>25</v>
      </c>
      <c r="L178" s="20">
        <v>25</v>
      </c>
      <c r="M178" s="20">
        <v>25</v>
      </c>
      <c r="N178" s="20">
        <v>25</v>
      </c>
      <c r="O178" s="20">
        <v>25</v>
      </c>
      <c r="Q178">
        <f t="shared" si="2"/>
        <v>239</v>
      </c>
    </row>
    <row r="179" spans="1:17" x14ac:dyDescent="0.3">
      <c r="A179" s="20" t="s">
        <v>89</v>
      </c>
      <c r="B179" s="20">
        <v>176432</v>
      </c>
      <c r="C179" s="32">
        <v>42885</v>
      </c>
      <c r="D179" s="20" t="s">
        <v>255</v>
      </c>
      <c r="E179" s="20">
        <v>8</v>
      </c>
      <c r="F179" s="20">
        <v>8</v>
      </c>
      <c r="G179" s="20">
        <v>10</v>
      </c>
      <c r="H179" s="20">
        <v>20</v>
      </c>
      <c r="I179" s="20">
        <v>26</v>
      </c>
      <c r="J179" s="20">
        <v>27</v>
      </c>
      <c r="K179" s="20">
        <v>28</v>
      </c>
      <c r="L179" s="20">
        <v>29</v>
      </c>
      <c r="M179" s="20">
        <v>29</v>
      </c>
      <c r="N179" s="20">
        <v>29</v>
      </c>
      <c r="O179" s="20">
        <v>29</v>
      </c>
      <c r="Q179">
        <f t="shared" si="2"/>
        <v>235</v>
      </c>
    </row>
    <row r="180" spans="1:17" x14ac:dyDescent="0.3">
      <c r="A180" s="20" t="s">
        <v>89</v>
      </c>
      <c r="B180" s="20">
        <v>176433</v>
      </c>
      <c r="C180" s="32">
        <v>42885</v>
      </c>
      <c r="D180" s="20" t="s">
        <v>255</v>
      </c>
      <c r="E180" s="20">
        <v>3</v>
      </c>
      <c r="F180" s="20">
        <v>3</v>
      </c>
      <c r="G180" s="20">
        <v>5</v>
      </c>
      <c r="H180" s="20">
        <v>14</v>
      </c>
      <c r="I180" s="20">
        <v>24</v>
      </c>
      <c r="J180" s="20">
        <v>26</v>
      </c>
      <c r="K180" s="20">
        <v>27</v>
      </c>
      <c r="L180" s="20">
        <v>27</v>
      </c>
      <c r="M180" s="20">
        <v>27</v>
      </c>
      <c r="N180" s="20">
        <v>27</v>
      </c>
      <c r="O180" s="20">
        <v>27</v>
      </c>
      <c r="Q180">
        <f t="shared" si="2"/>
        <v>207</v>
      </c>
    </row>
    <row r="181" spans="1:17" x14ac:dyDescent="0.3">
      <c r="A181" s="20" t="s">
        <v>89</v>
      </c>
      <c r="B181" s="20">
        <v>176434</v>
      </c>
      <c r="C181" s="32">
        <v>42885</v>
      </c>
      <c r="D181" s="20" t="s">
        <v>255</v>
      </c>
      <c r="E181" s="20">
        <v>1</v>
      </c>
      <c r="F181" s="20">
        <v>1</v>
      </c>
      <c r="G181" s="20">
        <v>3</v>
      </c>
      <c r="H181" s="20">
        <v>4</v>
      </c>
      <c r="I181" s="20">
        <v>8</v>
      </c>
      <c r="J181" s="20">
        <v>9</v>
      </c>
      <c r="K181" s="20">
        <v>18</v>
      </c>
      <c r="L181" s="20">
        <v>27</v>
      </c>
      <c r="M181" s="20">
        <v>28</v>
      </c>
      <c r="N181" s="20">
        <v>31</v>
      </c>
      <c r="O181" s="20">
        <v>31</v>
      </c>
      <c r="Q181">
        <f t="shared" si="2"/>
        <v>160</v>
      </c>
    </row>
    <row r="182" spans="1:17" x14ac:dyDescent="0.3">
      <c r="A182" s="20" t="s">
        <v>89</v>
      </c>
      <c r="B182" s="20">
        <v>176435</v>
      </c>
      <c r="C182" s="32">
        <v>42885</v>
      </c>
      <c r="D182" s="20" t="s">
        <v>255</v>
      </c>
      <c r="E182" s="20">
        <v>8</v>
      </c>
      <c r="F182" s="20">
        <v>8</v>
      </c>
      <c r="G182" s="20">
        <v>11</v>
      </c>
      <c r="H182" s="20">
        <v>19</v>
      </c>
      <c r="I182" s="20">
        <v>30</v>
      </c>
      <c r="J182" s="20">
        <v>37</v>
      </c>
      <c r="K182" s="20">
        <v>40</v>
      </c>
      <c r="L182" s="20">
        <v>40</v>
      </c>
      <c r="M182" s="20">
        <v>40</v>
      </c>
      <c r="N182" s="20">
        <v>40</v>
      </c>
      <c r="O182" s="20">
        <v>40</v>
      </c>
      <c r="Q182">
        <f t="shared" si="2"/>
        <v>305</v>
      </c>
    </row>
    <row r="183" spans="1:17" x14ac:dyDescent="0.3">
      <c r="A183" s="20" t="s">
        <v>89</v>
      </c>
      <c r="B183" s="20">
        <v>176436</v>
      </c>
      <c r="C183" s="32">
        <v>42885</v>
      </c>
      <c r="D183" s="20" t="s">
        <v>255</v>
      </c>
      <c r="E183" s="20">
        <v>11</v>
      </c>
      <c r="F183" s="20">
        <v>11</v>
      </c>
      <c r="G183" s="20">
        <v>12</v>
      </c>
      <c r="H183" s="20">
        <v>19</v>
      </c>
      <c r="I183" s="20">
        <v>32</v>
      </c>
      <c r="J183" s="20">
        <v>34</v>
      </c>
      <c r="K183" s="20">
        <v>34</v>
      </c>
      <c r="L183" s="20">
        <v>34</v>
      </c>
      <c r="M183" s="20">
        <v>34</v>
      </c>
      <c r="N183" s="20">
        <v>34</v>
      </c>
      <c r="O183" s="20">
        <v>34</v>
      </c>
      <c r="Q183">
        <f t="shared" si="2"/>
        <v>278</v>
      </c>
    </row>
    <row r="184" spans="1:17" x14ac:dyDescent="0.3">
      <c r="A184" s="20" t="s">
        <v>89</v>
      </c>
      <c r="B184" s="20">
        <v>176437</v>
      </c>
      <c r="C184" s="32">
        <v>42885</v>
      </c>
      <c r="D184" s="20" t="s">
        <v>255</v>
      </c>
      <c r="E184" s="20">
        <v>8</v>
      </c>
      <c r="F184" s="20">
        <v>8</v>
      </c>
      <c r="G184" s="20">
        <v>11</v>
      </c>
      <c r="H184" s="20">
        <v>23</v>
      </c>
      <c r="I184" s="20">
        <v>25</v>
      </c>
      <c r="J184" s="20">
        <v>25</v>
      </c>
      <c r="K184" s="20">
        <v>25</v>
      </c>
      <c r="L184" s="20">
        <v>25</v>
      </c>
      <c r="M184" s="20">
        <v>25</v>
      </c>
      <c r="N184" s="20">
        <v>25</v>
      </c>
      <c r="O184" s="20">
        <v>25</v>
      </c>
      <c r="Q184">
        <f t="shared" si="2"/>
        <v>217</v>
      </c>
    </row>
    <row r="185" spans="1:17" x14ac:dyDescent="0.3">
      <c r="A185" s="20" t="s">
        <v>89</v>
      </c>
      <c r="B185" s="20">
        <v>176438</v>
      </c>
      <c r="C185" s="32">
        <v>42885</v>
      </c>
      <c r="D185" s="20" t="s">
        <v>255</v>
      </c>
      <c r="E185" s="20">
        <v>8</v>
      </c>
      <c r="F185" s="20">
        <v>8</v>
      </c>
      <c r="G185" s="20">
        <v>8</v>
      </c>
      <c r="H185" s="20">
        <v>13</v>
      </c>
      <c r="I185" s="20">
        <v>19</v>
      </c>
      <c r="J185" s="20">
        <v>27</v>
      </c>
      <c r="K185" s="20">
        <v>30</v>
      </c>
      <c r="L185" s="20">
        <v>31</v>
      </c>
      <c r="M185" s="20">
        <v>31</v>
      </c>
      <c r="N185" s="20">
        <v>31</v>
      </c>
      <c r="O185" s="20">
        <v>31</v>
      </c>
      <c r="Q185">
        <f t="shared" si="2"/>
        <v>229</v>
      </c>
    </row>
    <row r="186" spans="1:17" x14ac:dyDescent="0.3">
      <c r="A186" s="20" t="s">
        <v>89</v>
      </c>
      <c r="B186" s="20">
        <v>176439</v>
      </c>
      <c r="C186" s="32">
        <v>42885</v>
      </c>
      <c r="D186" s="20" t="s">
        <v>255</v>
      </c>
      <c r="E186" s="20">
        <v>4</v>
      </c>
      <c r="F186" s="20">
        <v>4</v>
      </c>
      <c r="G186" s="20">
        <v>8</v>
      </c>
      <c r="H186" s="20">
        <v>16</v>
      </c>
      <c r="I186" s="20">
        <v>19</v>
      </c>
      <c r="J186" s="20">
        <v>25</v>
      </c>
      <c r="K186" s="20">
        <v>26</v>
      </c>
      <c r="L186" s="20">
        <v>26</v>
      </c>
      <c r="M186" s="20">
        <v>26</v>
      </c>
      <c r="N186" s="20">
        <v>26</v>
      </c>
      <c r="O186" s="20">
        <v>26</v>
      </c>
      <c r="Q186">
        <f t="shared" si="2"/>
        <v>202</v>
      </c>
    </row>
    <row r="187" spans="1:17" x14ac:dyDescent="0.3">
      <c r="A187" s="20" t="s">
        <v>89</v>
      </c>
      <c r="B187" s="20">
        <v>176440</v>
      </c>
      <c r="C187" s="32">
        <v>42885</v>
      </c>
      <c r="D187" s="20" t="s">
        <v>255</v>
      </c>
      <c r="E187" s="20">
        <v>12</v>
      </c>
      <c r="F187" s="20">
        <v>12</v>
      </c>
      <c r="G187" s="20">
        <v>16</v>
      </c>
      <c r="H187" s="20">
        <v>24</v>
      </c>
      <c r="I187" s="20">
        <v>27</v>
      </c>
      <c r="J187" s="20">
        <v>27</v>
      </c>
      <c r="K187" s="20">
        <v>27</v>
      </c>
      <c r="L187" s="20">
        <v>27</v>
      </c>
      <c r="M187" s="20">
        <v>27</v>
      </c>
      <c r="N187" s="20">
        <v>27</v>
      </c>
      <c r="O187" s="20">
        <v>27</v>
      </c>
      <c r="Q187">
        <f t="shared" si="2"/>
        <v>241</v>
      </c>
    </row>
    <row r="188" spans="1:17" x14ac:dyDescent="0.3">
      <c r="A188" s="20" t="s">
        <v>89</v>
      </c>
      <c r="B188" s="20">
        <v>176441</v>
      </c>
      <c r="C188" s="32">
        <v>42885</v>
      </c>
      <c r="D188" s="20" t="s">
        <v>255</v>
      </c>
      <c r="E188" s="20">
        <v>4</v>
      </c>
      <c r="F188" s="20">
        <v>4</v>
      </c>
      <c r="G188" s="20">
        <v>5</v>
      </c>
      <c r="H188" s="20">
        <v>7</v>
      </c>
      <c r="I188" s="20">
        <v>11</v>
      </c>
      <c r="J188" s="20">
        <v>16</v>
      </c>
      <c r="K188" s="20">
        <v>16</v>
      </c>
      <c r="L188" s="20">
        <v>16</v>
      </c>
      <c r="M188" s="20">
        <v>18</v>
      </c>
      <c r="N188" s="20">
        <v>18</v>
      </c>
      <c r="O188" s="20">
        <v>18</v>
      </c>
      <c r="Q188">
        <f t="shared" si="2"/>
        <v>129</v>
      </c>
    </row>
    <row r="189" spans="1:17" x14ac:dyDescent="0.3">
      <c r="A189" s="20" t="s">
        <v>89</v>
      </c>
      <c r="B189" s="20">
        <v>176457</v>
      </c>
      <c r="C189" s="32">
        <v>42885</v>
      </c>
      <c r="D189" s="20" t="s">
        <v>255</v>
      </c>
      <c r="E189" s="20">
        <v>10</v>
      </c>
      <c r="F189" s="20">
        <v>10</v>
      </c>
      <c r="G189" s="20">
        <v>16</v>
      </c>
      <c r="H189" s="20">
        <v>22</v>
      </c>
      <c r="I189" s="20">
        <v>24</v>
      </c>
      <c r="J189" s="20">
        <v>26</v>
      </c>
      <c r="K189" s="20">
        <v>29</v>
      </c>
      <c r="L189" s="20">
        <v>29</v>
      </c>
      <c r="M189" s="20">
        <v>29</v>
      </c>
      <c r="N189" s="20">
        <v>29</v>
      </c>
      <c r="O189" s="20">
        <v>39</v>
      </c>
      <c r="Q189">
        <f t="shared" si="2"/>
        <v>253</v>
      </c>
    </row>
    <row r="190" spans="1:17" x14ac:dyDescent="0.3">
      <c r="A190" s="20" t="s">
        <v>89</v>
      </c>
      <c r="B190" s="20">
        <v>176458</v>
      </c>
      <c r="C190" s="32">
        <v>42885</v>
      </c>
      <c r="D190" s="20" t="s">
        <v>255</v>
      </c>
      <c r="E190" s="20">
        <v>10</v>
      </c>
      <c r="F190" s="20">
        <v>10</v>
      </c>
      <c r="G190" s="20">
        <v>17</v>
      </c>
      <c r="H190" s="20">
        <v>24</v>
      </c>
      <c r="I190" s="20">
        <v>24</v>
      </c>
      <c r="J190" s="20">
        <v>24</v>
      </c>
      <c r="K190" s="20">
        <v>24</v>
      </c>
      <c r="L190" s="20">
        <v>24</v>
      </c>
      <c r="M190" s="20">
        <v>24</v>
      </c>
      <c r="N190" s="20">
        <v>24</v>
      </c>
      <c r="O190" s="20">
        <v>24</v>
      </c>
      <c r="Q190">
        <f t="shared" si="2"/>
        <v>219</v>
      </c>
    </row>
    <row r="191" spans="1:17" x14ac:dyDescent="0.3">
      <c r="A191" s="20" t="s">
        <v>89</v>
      </c>
      <c r="B191" s="20">
        <v>176459</v>
      </c>
      <c r="C191" s="32">
        <v>42885</v>
      </c>
      <c r="D191" s="20" t="s">
        <v>255</v>
      </c>
      <c r="E191" s="20">
        <v>14</v>
      </c>
      <c r="F191" s="20">
        <v>14</v>
      </c>
      <c r="G191" s="20">
        <v>16</v>
      </c>
      <c r="H191" s="20">
        <v>26</v>
      </c>
      <c r="I191" s="20">
        <v>33</v>
      </c>
      <c r="J191" s="20">
        <v>33</v>
      </c>
      <c r="K191" s="20">
        <v>33</v>
      </c>
      <c r="L191" s="20">
        <v>33</v>
      </c>
      <c r="M191" s="20">
        <v>33</v>
      </c>
      <c r="N191" s="20">
        <v>33</v>
      </c>
      <c r="O191" s="20">
        <v>33</v>
      </c>
      <c r="Q191">
        <f t="shared" si="2"/>
        <v>287</v>
      </c>
    </row>
    <row r="192" spans="1:17" x14ac:dyDescent="0.3">
      <c r="A192" s="20" t="s">
        <v>89</v>
      </c>
      <c r="B192" s="20">
        <v>176460</v>
      </c>
      <c r="C192" s="32">
        <v>42885</v>
      </c>
      <c r="D192" s="20" t="s">
        <v>255</v>
      </c>
      <c r="E192" s="20">
        <v>8</v>
      </c>
      <c r="F192" s="20">
        <v>8</v>
      </c>
      <c r="G192" s="20">
        <v>9</v>
      </c>
      <c r="H192" s="20">
        <v>11</v>
      </c>
      <c r="I192" s="20">
        <v>12</v>
      </c>
      <c r="J192" s="20">
        <v>12</v>
      </c>
      <c r="K192" s="20">
        <v>12</v>
      </c>
      <c r="L192" s="20">
        <v>12</v>
      </c>
      <c r="M192" s="20">
        <v>12</v>
      </c>
      <c r="N192" s="20">
        <v>12</v>
      </c>
      <c r="O192" s="20">
        <v>12</v>
      </c>
      <c r="Q192">
        <f t="shared" si="2"/>
        <v>112</v>
      </c>
    </row>
    <row r="193" spans="1:17" x14ac:dyDescent="0.3">
      <c r="A193" s="20" t="s">
        <v>89</v>
      </c>
      <c r="B193" s="20">
        <v>176517</v>
      </c>
      <c r="C193" s="32">
        <v>42885</v>
      </c>
      <c r="D193" s="20" t="s">
        <v>254</v>
      </c>
      <c r="E193" s="20">
        <v>1</v>
      </c>
      <c r="F193" s="20">
        <v>0</v>
      </c>
      <c r="G193" s="20">
        <v>0</v>
      </c>
      <c r="H193" s="20">
        <v>0</v>
      </c>
      <c r="I193" s="20">
        <v>0</v>
      </c>
      <c r="J193" s="20">
        <v>0</v>
      </c>
      <c r="K193" s="20">
        <v>1</v>
      </c>
      <c r="L193" s="20">
        <v>1</v>
      </c>
      <c r="M193" s="20">
        <v>1</v>
      </c>
      <c r="N193" s="20">
        <v>1</v>
      </c>
      <c r="O193" s="20">
        <v>1</v>
      </c>
      <c r="Q193">
        <f t="shared" si="2"/>
        <v>5</v>
      </c>
    </row>
    <row r="194" spans="1:17" x14ac:dyDescent="0.3">
      <c r="A194" s="20" t="s">
        <v>89</v>
      </c>
      <c r="B194" s="20">
        <v>176519</v>
      </c>
      <c r="C194" s="32">
        <v>42885</v>
      </c>
      <c r="D194" s="20" t="s">
        <v>254</v>
      </c>
      <c r="E194" s="20">
        <v>3</v>
      </c>
      <c r="F194" s="20">
        <v>0</v>
      </c>
      <c r="G194" s="20">
        <v>0</v>
      </c>
      <c r="H194" s="20">
        <v>0</v>
      </c>
      <c r="I194" s="20">
        <v>0</v>
      </c>
      <c r="J194" s="20">
        <v>0</v>
      </c>
      <c r="K194" s="20">
        <v>3</v>
      </c>
      <c r="L194" s="20">
        <v>3</v>
      </c>
      <c r="M194" s="20">
        <v>3</v>
      </c>
      <c r="N194" s="20">
        <v>3</v>
      </c>
      <c r="O194" s="20">
        <v>3</v>
      </c>
      <c r="Q194">
        <f t="shared" si="2"/>
        <v>15</v>
      </c>
    </row>
    <row r="195" spans="1:17" x14ac:dyDescent="0.3">
      <c r="A195" s="20" t="s">
        <v>89</v>
      </c>
      <c r="B195" s="20">
        <v>176521</v>
      </c>
      <c r="C195" s="32">
        <v>42885</v>
      </c>
      <c r="D195" s="20" t="s">
        <v>254</v>
      </c>
      <c r="E195" s="20">
        <v>2</v>
      </c>
      <c r="F195" s="20">
        <v>0</v>
      </c>
      <c r="G195" s="20">
        <v>0</v>
      </c>
      <c r="H195" s="20">
        <v>0</v>
      </c>
      <c r="I195" s="20">
        <v>0</v>
      </c>
      <c r="J195" s="20">
        <v>0</v>
      </c>
      <c r="K195" s="20">
        <v>0</v>
      </c>
      <c r="L195" s="20">
        <v>2</v>
      </c>
      <c r="M195" s="20">
        <v>2</v>
      </c>
      <c r="N195" s="20">
        <v>2</v>
      </c>
      <c r="O195" s="20">
        <v>2</v>
      </c>
      <c r="Q195">
        <f t="shared" ref="Q195:Q258" si="3">SUM(F195:O195)</f>
        <v>8</v>
      </c>
    </row>
    <row r="196" spans="1:17" x14ac:dyDescent="0.3">
      <c r="A196" s="20" t="s">
        <v>89</v>
      </c>
      <c r="B196" s="20">
        <v>176564</v>
      </c>
      <c r="C196" s="32">
        <v>42885</v>
      </c>
      <c r="D196" s="20" t="s">
        <v>253</v>
      </c>
      <c r="E196" s="20">
        <v>157</v>
      </c>
      <c r="F196" s="20">
        <v>157</v>
      </c>
      <c r="G196" s="20">
        <v>164</v>
      </c>
      <c r="H196" s="20">
        <v>164</v>
      </c>
      <c r="I196" s="20">
        <v>164</v>
      </c>
      <c r="J196" s="20">
        <v>164</v>
      </c>
      <c r="K196" s="20">
        <v>164</v>
      </c>
      <c r="L196" s="20">
        <v>164</v>
      </c>
      <c r="M196" s="20">
        <v>164</v>
      </c>
      <c r="N196" s="20">
        <v>164</v>
      </c>
      <c r="O196" s="20">
        <v>164</v>
      </c>
      <c r="Q196">
        <f t="shared" si="3"/>
        <v>1633</v>
      </c>
    </row>
    <row r="197" spans="1:17" x14ac:dyDescent="0.3">
      <c r="A197" s="20" t="s">
        <v>89</v>
      </c>
      <c r="B197" s="20">
        <v>176565</v>
      </c>
      <c r="C197" s="32">
        <v>42885</v>
      </c>
      <c r="D197" s="20" t="s">
        <v>253</v>
      </c>
      <c r="E197" s="20">
        <v>81</v>
      </c>
      <c r="F197" s="20">
        <v>81</v>
      </c>
      <c r="G197" s="20">
        <v>86</v>
      </c>
      <c r="H197" s="20">
        <v>142</v>
      </c>
      <c r="I197" s="20">
        <v>161</v>
      </c>
      <c r="J197" s="20">
        <v>161</v>
      </c>
      <c r="K197" s="20">
        <v>161</v>
      </c>
      <c r="L197" s="20">
        <v>161</v>
      </c>
      <c r="M197" s="20">
        <v>161</v>
      </c>
      <c r="N197" s="20">
        <v>161</v>
      </c>
      <c r="O197" s="20">
        <v>161</v>
      </c>
      <c r="Q197">
        <f t="shared" si="3"/>
        <v>1436</v>
      </c>
    </row>
    <row r="198" spans="1:17" x14ac:dyDescent="0.3">
      <c r="A198" s="20" t="s">
        <v>89</v>
      </c>
      <c r="B198" s="20">
        <v>176593</v>
      </c>
      <c r="C198" s="32">
        <v>42885</v>
      </c>
      <c r="D198" s="20" t="s">
        <v>253</v>
      </c>
      <c r="E198" s="20">
        <v>17</v>
      </c>
      <c r="F198" s="20">
        <v>17</v>
      </c>
      <c r="G198" s="20">
        <v>26</v>
      </c>
      <c r="H198" s="20">
        <v>35</v>
      </c>
      <c r="I198" s="20">
        <v>76</v>
      </c>
      <c r="J198" s="20">
        <v>105</v>
      </c>
      <c r="K198" s="20">
        <v>117</v>
      </c>
      <c r="L198" s="20">
        <v>128</v>
      </c>
      <c r="M198" s="20">
        <v>128</v>
      </c>
      <c r="N198" s="20">
        <v>128</v>
      </c>
      <c r="O198" s="20">
        <v>128</v>
      </c>
      <c r="Q198">
        <f t="shared" si="3"/>
        <v>888</v>
      </c>
    </row>
    <row r="199" spans="1:17" x14ac:dyDescent="0.3">
      <c r="A199" s="20" t="s">
        <v>89</v>
      </c>
      <c r="B199" s="20">
        <v>176903</v>
      </c>
      <c r="C199" s="32">
        <v>42885</v>
      </c>
      <c r="D199" s="20" t="s">
        <v>258</v>
      </c>
      <c r="E199" s="20">
        <v>2</v>
      </c>
      <c r="F199" s="20">
        <v>2</v>
      </c>
      <c r="G199" s="20">
        <v>3</v>
      </c>
      <c r="H199" s="20">
        <v>4</v>
      </c>
      <c r="I199" s="20">
        <v>4</v>
      </c>
      <c r="J199" s="20">
        <v>4</v>
      </c>
      <c r="K199" s="20">
        <v>4</v>
      </c>
      <c r="L199" s="20">
        <v>4</v>
      </c>
      <c r="M199" s="20">
        <v>4</v>
      </c>
      <c r="N199" s="20">
        <v>4</v>
      </c>
      <c r="O199" s="20">
        <v>4</v>
      </c>
      <c r="Q199">
        <f t="shared" si="3"/>
        <v>37</v>
      </c>
    </row>
    <row r="200" spans="1:17" x14ac:dyDescent="0.3">
      <c r="A200" s="20" t="s">
        <v>89</v>
      </c>
      <c r="B200" s="20">
        <v>176905</v>
      </c>
      <c r="C200" s="32">
        <v>42885</v>
      </c>
      <c r="D200" s="20" t="s">
        <v>258</v>
      </c>
      <c r="E200" s="20">
        <v>1</v>
      </c>
      <c r="F200" s="20">
        <v>1</v>
      </c>
      <c r="G200" s="20">
        <v>1</v>
      </c>
      <c r="H200" s="20">
        <v>2</v>
      </c>
      <c r="I200" s="20">
        <v>4</v>
      </c>
      <c r="J200" s="20">
        <v>4</v>
      </c>
      <c r="K200" s="20">
        <v>4</v>
      </c>
      <c r="L200" s="20">
        <v>4</v>
      </c>
      <c r="M200" s="20">
        <v>4</v>
      </c>
      <c r="N200" s="20">
        <v>4</v>
      </c>
      <c r="O200" s="20">
        <v>4</v>
      </c>
      <c r="Q200">
        <f t="shared" si="3"/>
        <v>32</v>
      </c>
    </row>
    <row r="201" spans="1:17" x14ac:dyDescent="0.3">
      <c r="A201" s="20" t="s">
        <v>89</v>
      </c>
      <c r="B201" s="20">
        <v>176911</v>
      </c>
      <c r="C201" s="32">
        <v>42885</v>
      </c>
      <c r="D201" s="20" t="s">
        <v>258</v>
      </c>
      <c r="E201" s="20">
        <v>4</v>
      </c>
      <c r="F201" s="20">
        <v>4</v>
      </c>
      <c r="G201" s="20">
        <v>4</v>
      </c>
      <c r="H201" s="20">
        <v>5</v>
      </c>
      <c r="I201" s="20">
        <v>5</v>
      </c>
      <c r="J201" s="20">
        <v>5</v>
      </c>
      <c r="K201" s="20">
        <v>5</v>
      </c>
      <c r="L201" s="20">
        <v>5</v>
      </c>
      <c r="M201" s="20">
        <v>5</v>
      </c>
      <c r="N201" s="20">
        <v>5</v>
      </c>
      <c r="O201" s="20">
        <v>5</v>
      </c>
      <c r="Q201">
        <f t="shared" si="3"/>
        <v>48</v>
      </c>
    </row>
    <row r="202" spans="1:17" x14ac:dyDescent="0.3">
      <c r="A202" s="20" t="s">
        <v>89</v>
      </c>
      <c r="B202" s="20">
        <v>176920</v>
      </c>
      <c r="C202" s="32">
        <v>42885</v>
      </c>
      <c r="D202" s="20" t="s">
        <v>258</v>
      </c>
      <c r="E202" s="20">
        <v>1</v>
      </c>
      <c r="F202" s="20">
        <v>2</v>
      </c>
      <c r="G202" s="20">
        <v>2</v>
      </c>
      <c r="H202" s="20">
        <v>2</v>
      </c>
      <c r="I202" s="20">
        <v>2</v>
      </c>
      <c r="J202" s="20">
        <v>2</v>
      </c>
      <c r="K202" s="20">
        <v>3</v>
      </c>
      <c r="L202" s="20">
        <v>3</v>
      </c>
      <c r="M202" s="20">
        <v>4</v>
      </c>
      <c r="N202" s="20">
        <v>4</v>
      </c>
      <c r="O202" s="20">
        <v>4</v>
      </c>
      <c r="Q202">
        <f t="shared" si="3"/>
        <v>28</v>
      </c>
    </row>
    <row r="203" spans="1:17" x14ac:dyDescent="0.3">
      <c r="A203" s="20" t="s">
        <v>89</v>
      </c>
      <c r="B203" s="20">
        <v>176929</v>
      </c>
      <c r="C203" s="32">
        <v>42885</v>
      </c>
      <c r="D203" s="20" t="s">
        <v>258</v>
      </c>
      <c r="E203" s="20">
        <v>2</v>
      </c>
      <c r="F203" s="20">
        <v>2</v>
      </c>
      <c r="G203" s="20">
        <v>2</v>
      </c>
      <c r="H203" s="20">
        <v>3</v>
      </c>
      <c r="I203" s="20">
        <v>3</v>
      </c>
      <c r="J203" s="20">
        <v>3</v>
      </c>
      <c r="K203" s="20">
        <v>3</v>
      </c>
      <c r="L203" s="20">
        <v>3</v>
      </c>
      <c r="M203" s="20">
        <v>3</v>
      </c>
      <c r="N203" s="20">
        <v>3</v>
      </c>
      <c r="O203" s="20">
        <v>3</v>
      </c>
      <c r="Q203">
        <f t="shared" si="3"/>
        <v>28</v>
      </c>
    </row>
    <row r="204" spans="1:17" x14ac:dyDescent="0.3">
      <c r="A204" s="20" t="s">
        <v>89</v>
      </c>
      <c r="B204" s="20">
        <v>176965</v>
      </c>
      <c r="C204" s="32">
        <v>42885</v>
      </c>
      <c r="D204" s="20" t="s">
        <v>260</v>
      </c>
      <c r="E204" s="20">
        <v>1</v>
      </c>
      <c r="F204" s="20">
        <v>2</v>
      </c>
      <c r="G204" s="20">
        <v>2</v>
      </c>
      <c r="H204" s="20">
        <v>2</v>
      </c>
      <c r="I204" s="20">
        <v>2</v>
      </c>
      <c r="J204" s="20">
        <v>2</v>
      </c>
      <c r="K204" s="20">
        <v>2</v>
      </c>
      <c r="L204" s="20">
        <v>2</v>
      </c>
      <c r="M204" s="20">
        <v>2</v>
      </c>
      <c r="N204" s="20">
        <v>2</v>
      </c>
      <c r="O204" s="20">
        <v>2</v>
      </c>
      <c r="Q204">
        <f t="shared" si="3"/>
        <v>20</v>
      </c>
    </row>
    <row r="205" spans="1:17" x14ac:dyDescent="0.3">
      <c r="A205" s="20" t="s">
        <v>89</v>
      </c>
      <c r="B205" s="20">
        <v>176996</v>
      </c>
      <c r="C205" s="32">
        <v>42885</v>
      </c>
      <c r="D205" s="20" t="s">
        <v>257</v>
      </c>
      <c r="E205" s="20">
        <v>1</v>
      </c>
      <c r="F205" s="20">
        <v>1</v>
      </c>
      <c r="G205" s="20">
        <v>2</v>
      </c>
      <c r="H205" s="20">
        <v>5</v>
      </c>
      <c r="I205" s="20">
        <v>5</v>
      </c>
      <c r="J205" s="20">
        <v>5</v>
      </c>
      <c r="K205" s="20">
        <v>5</v>
      </c>
      <c r="L205" s="20">
        <v>5</v>
      </c>
      <c r="M205" s="20">
        <v>5</v>
      </c>
      <c r="N205" s="20">
        <v>5</v>
      </c>
      <c r="O205" s="20">
        <v>5</v>
      </c>
      <c r="Q205">
        <f t="shared" si="3"/>
        <v>43</v>
      </c>
    </row>
    <row r="206" spans="1:17" x14ac:dyDescent="0.3">
      <c r="A206" s="20" t="s">
        <v>89</v>
      </c>
      <c r="B206" s="20">
        <v>176998</v>
      </c>
      <c r="C206" s="32">
        <v>42885</v>
      </c>
      <c r="D206" s="20" t="s">
        <v>257</v>
      </c>
      <c r="E206" s="20">
        <v>1</v>
      </c>
      <c r="F206" s="20">
        <v>1</v>
      </c>
      <c r="G206" s="20">
        <v>1</v>
      </c>
      <c r="H206" s="20">
        <v>2</v>
      </c>
      <c r="I206" s="20">
        <v>3</v>
      </c>
      <c r="J206" s="20">
        <v>3</v>
      </c>
      <c r="K206" s="20">
        <v>3</v>
      </c>
      <c r="L206" s="20">
        <v>3</v>
      </c>
      <c r="M206" s="20">
        <v>3</v>
      </c>
      <c r="N206" s="20">
        <v>3</v>
      </c>
      <c r="O206" s="20">
        <v>3</v>
      </c>
      <c r="Q206">
        <f t="shared" si="3"/>
        <v>25</v>
      </c>
    </row>
    <row r="207" spans="1:17" x14ac:dyDescent="0.3">
      <c r="A207" s="20" t="s">
        <v>89</v>
      </c>
      <c r="B207" s="20">
        <v>177003</v>
      </c>
      <c r="C207" s="32">
        <v>42885</v>
      </c>
      <c r="D207" s="20" t="s">
        <v>257</v>
      </c>
      <c r="E207" s="20">
        <v>1</v>
      </c>
      <c r="F207" s="20">
        <v>1</v>
      </c>
      <c r="G207" s="20">
        <v>1</v>
      </c>
      <c r="H207" s="20">
        <v>2</v>
      </c>
      <c r="I207" s="20">
        <v>2</v>
      </c>
      <c r="J207" s="20">
        <v>2</v>
      </c>
      <c r="K207" s="20">
        <v>3</v>
      </c>
      <c r="L207" s="20">
        <v>3</v>
      </c>
      <c r="M207" s="20">
        <v>3</v>
      </c>
      <c r="N207" s="20">
        <v>3</v>
      </c>
      <c r="O207" s="20">
        <v>3</v>
      </c>
      <c r="Q207">
        <f t="shared" si="3"/>
        <v>23</v>
      </c>
    </row>
    <row r="208" spans="1:17" x14ac:dyDescent="0.3">
      <c r="A208" s="20" t="s">
        <v>89</v>
      </c>
      <c r="B208" s="20">
        <v>177006</v>
      </c>
      <c r="C208" s="32">
        <v>42885</v>
      </c>
      <c r="D208" s="20" t="s">
        <v>257</v>
      </c>
      <c r="E208" s="20">
        <v>1</v>
      </c>
      <c r="F208" s="20">
        <v>1</v>
      </c>
      <c r="G208" s="20">
        <v>1</v>
      </c>
      <c r="H208" s="20">
        <v>2</v>
      </c>
      <c r="I208" s="20">
        <v>2</v>
      </c>
      <c r="J208" s="20">
        <v>2</v>
      </c>
      <c r="K208" s="20">
        <v>2</v>
      </c>
      <c r="L208" s="20">
        <v>2</v>
      </c>
      <c r="M208" s="20">
        <v>2</v>
      </c>
      <c r="N208" s="20">
        <v>2</v>
      </c>
      <c r="O208" s="20">
        <v>2</v>
      </c>
      <c r="Q208">
        <f t="shared" si="3"/>
        <v>18</v>
      </c>
    </row>
    <row r="209" spans="1:17" x14ac:dyDescent="0.3">
      <c r="A209" s="20" t="s">
        <v>89</v>
      </c>
      <c r="B209" s="20">
        <v>187480</v>
      </c>
      <c r="C209" s="32">
        <v>42881</v>
      </c>
      <c r="D209" s="20" t="s">
        <v>263</v>
      </c>
      <c r="E209" s="20">
        <v>1</v>
      </c>
      <c r="F209" s="20">
        <v>2</v>
      </c>
      <c r="G209" s="20">
        <v>2</v>
      </c>
      <c r="H209" s="20">
        <v>2</v>
      </c>
      <c r="I209" s="20">
        <v>2</v>
      </c>
      <c r="J209" s="20">
        <v>2</v>
      </c>
      <c r="K209" s="20">
        <v>2</v>
      </c>
      <c r="L209" s="20">
        <v>2</v>
      </c>
      <c r="M209" s="20">
        <v>2</v>
      </c>
      <c r="N209" s="20">
        <v>2</v>
      </c>
      <c r="O209" s="20">
        <v>2</v>
      </c>
      <c r="Q209">
        <f t="shared" si="3"/>
        <v>20</v>
      </c>
    </row>
    <row r="210" spans="1:17" x14ac:dyDescent="0.3">
      <c r="A210" s="20" t="s">
        <v>89</v>
      </c>
      <c r="B210" s="20">
        <v>187365</v>
      </c>
      <c r="C210" s="32">
        <v>42881</v>
      </c>
      <c r="D210" s="20" t="s">
        <v>256</v>
      </c>
      <c r="E210" s="20">
        <v>1</v>
      </c>
      <c r="F210" s="20">
        <v>2</v>
      </c>
      <c r="G210" s="20">
        <v>2</v>
      </c>
      <c r="H210" s="20">
        <v>2</v>
      </c>
      <c r="I210" s="20">
        <v>2</v>
      </c>
      <c r="J210" s="20">
        <v>2</v>
      </c>
      <c r="K210" s="20">
        <v>2</v>
      </c>
      <c r="L210" s="20">
        <v>2</v>
      </c>
      <c r="M210" s="20">
        <v>2</v>
      </c>
      <c r="N210" s="20">
        <v>2</v>
      </c>
      <c r="O210" s="20">
        <v>2</v>
      </c>
      <c r="Q210">
        <f t="shared" si="3"/>
        <v>20</v>
      </c>
    </row>
    <row r="211" spans="1:17" x14ac:dyDescent="0.3">
      <c r="A211" s="20" t="s">
        <v>89</v>
      </c>
      <c r="B211" s="20">
        <v>186988</v>
      </c>
      <c r="C211" s="32">
        <v>42881</v>
      </c>
      <c r="D211" s="20" t="s">
        <v>255</v>
      </c>
      <c r="E211" s="20">
        <v>8</v>
      </c>
      <c r="F211" s="20">
        <v>8</v>
      </c>
      <c r="G211" s="20">
        <v>8</v>
      </c>
      <c r="H211" s="20">
        <v>12</v>
      </c>
      <c r="I211" s="20">
        <v>13</v>
      </c>
      <c r="J211" s="20">
        <v>14</v>
      </c>
      <c r="K211" s="20">
        <v>14</v>
      </c>
      <c r="L211" s="20">
        <v>14</v>
      </c>
      <c r="M211" s="20">
        <v>14</v>
      </c>
      <c r="N211" s="20">
        <v>14</v>
      </c>
      <c r="O211" s="20">
        <v>14</v>
      </c>
      <c r="Q211">
        <f t="shared" si="3"/>
        <v>125</v>
      </c>
    </row>
    <row r="212" spans="1:17" x14ac:dyDescent="0.3">
      <c r="A212" s="20" t="s">
        <v>89</v>
      </c>
      <c r="B212" s="20">
        <v>186989</v>
      </c>
      <c r="C212" s="32">
        <v>42881</v>
      </c>
      <c r="D212" s="20" t="s">
        <v>255</v>
      </c>
      <c r="E212" s="20">
        <v>14</v>
      </c>
      <c r="F212" s="20">
        <v>14</v>
      </c>
      <c r="G212" s="20">
        <v>16</v>
      </c>
      <c r="H212" s="20">
        <v>19</v>
      </c>
      <c r="I212" s="20">
        <v>19</v>
      </c>
      <c r="J212" s="20">
        <v>19</v>
      </c>
      <c r="K212" s="20">
        <v>19</v>
      </c>
      <c r="L212" s="20">
        <v>19</v>
      </c>
      <c r="M212" s="20">
        <v>19</v>
      </c>
      <c r="N212" s="20">
        <v>19</v>
      </c>
      <c r="O212" s="20">
        <v>19</v>
      </c>
      <c r="Q212">
        <f t="shared" si="3"/>
        <v>182</v>
      </c>
    </row>
    <row r="213" spans="1:17" x14ac:dyDescent="0.3">
      <c r="A213" s="20" t="s">
        <v>89</v>
      </c>
      <c r="B213" s="20">
        <v>186990</v>
      </c>
      <c r="C213" s="32">
        <v>42881</v>
      </c>
      <c r="D213" s="20" t="s">
        <v>255</v>
      </c>
      <c r="E213" s="20">
        <v>21</v>
      </c>
      <c r="F213" s="20">
        <v>21</v>
      </c>
      <c r="G213" s="20">
        <v>21</v>
      </c>
      <c r="H213" s="20">
        <v>22</v>
      </c>
      <c r="I213" s="20">
        <v>22</v>
      </c>
      <c r="J213" s="20">
        <v>22</v>
      </c>
      <c r="K213" s="20">
        <v>22</v>
      </c>
      <c r="L213" s="20">
        <v>22</v>
      </c>
      <c r="M213" s="20">
        <v>22</v>
      </c>
      <c r="N213" s="20">
        <v>22</v>
      </c>
      <c r="O213" s="20">
        <v>22</v>
      </c>
      <c r="Q213">
        <f t="shared" si="3"/>
        <v>218</v>
      </c>
    </row>
    <row r="214" spans="1:17" x14ac:dyDescent="0.3">
      <c r="A214" s="20" t="s">
        <v>89</v>
      </c>
      <c r="B214" s="20">
        <v>186992</v>
      </c>
      <c r="C214" s="32">
        <v>42881</v>
      </c>
      <c r="D214" s="20" t="s">
        <v>255</v>
      </c>
      <c r="E214" s="20">
        <v>12</v>
      </c>
      <c r="F214" s="20">
        <v>12</v>
      </c>
      <c r="G214" s="20">
        <v>15</v>
      </c>
      <c r="H214" s="20">
        <v>15</v>
      </c>
      <c r="I214" s="20">
        <v>15</v>
      </c>
      <c r="J214" s="20">
        <v>18</v>
      </c>
      <c r="K214" s="20">
        <v>20</v>
      </c>
      <c r="L214" s="20">
        <v>20</v>
      </c>
      <c r="M214" s="20">
        <v>20</v>
      </c>
      <c r="N214" s="20">
        <v>20</v>
      </c>
      <c r="O214" s="20">
        <v>20</v>
      </c>
      <c r="Q214">
        <f t="shared" si="3"/>
        <v>175</v>
      </c>
    </row>
    <row r="215" spans="1:17" x14ac:dyDescent="0.3">
      <c r="A215" s="20" t="s">
        <v>89</v>
      </c>
      <c r="B215" s="20">
        <v>186993</v>
      </c>
      <c r="C215" s="32">
        <v>42881</v>
      </c>
      <c r="D215" s="20" t="s">
        <v>255</v>
      </c>
      <c r="E215" s="20">
        <v>17</v>
      </c>
      <c r="F215" s="20">
        <v>17</v>
      </c>
      <c r="G215" s="20">
        <v>19</v>
      </c>
      <c r="H215" s="20">
        <v>21</v>
      </c>
      <c r="I215" s="20">
        <v>21</v>
      </c>
      <c r="J215" s="20">
        <v>25</v>
      </c>
      <c r="K215" s="20">
        <v>25</v>
      </c>
      <c r="L215" s="20">
        <v>25</v>
      </c>
      <c r="M215" s="20">
        <v>25</v>
      </c>
      <c r="N215" s="20">
        <v>25</v>
      </c>
      <c r="O215" s="20">
        <v>25</v>
      </c>
      <c r="Q215">
        <f t="shared" si="3"/>
        <v>228</v>
      </c>
    </row>
    <row r="216" spans="1:17" x14ac:dyDescent="0.3">
      <c r="A216" s="20" t="s">
        <v>89</v>
      </c>
      <c r="B216" s="20">
        <v>186994</v>
      </c>
      <c r="C216" s="32">
        <v>42881</v>
      </c>
      <c r="D216" s="20" t="s">
        <v>255</v>
      </c>
      <c r="E216" s="20">
        <v>12</v>
      </c>
      <c r="F216" s="20">
        <v>12</v>
      </c>
      <c r="G216" s="20">
        <v>14</v>
      </c>
      <c r="H216" s="20">
        <v>17</v>
      </c>
      <c r="I216" s="20">
        <v>19</v>
      </c>
      <c r="J216" s="20">
        <v>20</v>
      </c>
      <c r="K216" s="20">
        <v>20</v>
      </c>
      <c r="L216" s="20">
        <v>20</v>
      </c>
      <c r="M216" s="20">
        <v>20</v>
      </c>
      <c r="N216" s="20">
        <v>20</v>
      </c>
      <c r="O216" s="20">
        <v>20</v>
      </c>
      <c r="Q216">
        <f t="shared" si="3"/>
        <v>182</v>
      </c>
    </row>
    <row r="217" spans="1:17" x14ac:dyDescent="0.3">
      <c r="A217" s="20" t="s">
        <v>89</v>
      </c>
      <c r="B217" s="20">
        <v>186995</v>
      </c>
      <c r="C217" s="32">
        <v>42881</v>
      </c>
      <c r="D217" s="20" t="s">
        <v>255</v>
      </c>
      <c r="E217" s="20">
        <v>10</v>
      </c>
      <c r="F217" s="20">
        <v>10</v>
      </c>
      <c r="G217" s="20">
        <v>11</v>
      </c>
      <c r="H217" s="20">
        <v>20</v>
      </c>
      <c r="I217" s="20">
        <v>21</v>
      </c>
      <c r="J217" s="20">
        <v>23</v>
      </c>
      <c r="K217" s="20">
        <v>23</v>
      </c>
      <c r="L217" s="20">
        <v>23</v>
      </c>
      <c r="M217" s="20">
        <v>23</v>
      </c>
      <c r="N217" s="20">
        <v>23</v>
      </c>
      <c r="O217" s="20">
        <v>23</v>
      </c>
      <c r="Q217">
        <f t="shared" si="3"/>
        <v>200</v>
      </c>
    </row>
    <row r="218" spans="1:17" x14ac:dyDescent="0.3">
      <c r="A218" s="20" t="s">
        <v>89</v>
      </c>
      <c r="B218" s="20">
        <v>186996</v>
      </c>
      <c r="C218" s="32">
        <v>42881</v>
      </c>
      <c r="D218" s="20" t="s">
        <v>255</v>
      </c>
      <c r="E218" s="20">
        <v>2</v>
      </c>
      <c r="F218" s="20">
        <v>2</v>
      </c>
      <c r="G218" s="20">
        <v>7</v>
      </c>
      <c r="H218" s="20">
        <v>13</v>
      </c>
      <c r="I218" s="20">
        <v>16</v>
      </c>
      <c r="J218" s="20">
        <v>17</v>
      </c>
      <c r="K218" s="20">
        <v>17</v>
      </c>
      <c r="L218" s="20">
        <v>17</v>
      </c>
      <c r="M218" s="20">
        <v>17</v>
      </c>
      <c r="N218" s="20">
        <v>17</v>
      </c>
      <c r="O218" s="20">
        <v>17</v>
      </c>
      <c r="Q218">
        <f t="shared" si="3"/>
        <v>140</v>
      </c>
    </row>
    <row r="219" spans="1:17" x14ac:dyDescent="0.3">
      <c r="A219" s="20" t="s">
        <v>89</v>
      </c>
      <c r="B219" s="20">
        <v>186997</v>
      </c>
      <c r="C219" s="32">
        <v>42881</v>
      </c>
      <c r="D219" s="20" t="s">
        <v>255</v>
      </c>
      <c r="E219" s="20">
        <v>1</v>
      </c>
      <c r="F219" s="20">
        <v>1</v>
      </c>
      <c r="G219" s="20">
        <v>3</v>
      </c>
      <c r="H219" s="20">
        <v>4</v>
      </c>
      <c r="I219" s="20">
        <v>4</v>
      </c>
      <c r="J219" s="20">
        <v>4</v>
      </c>
      <c r="K219" s="20">
        <v>5</v>
      </c>
      <c r="L219" s="20">
        <v>8</v>
      </c>
      <c r="M219" s="20">
        <v>8</v>
      </c>
      <c r="N219" s="20">
        <v>8</v>
      </c>
      <c r="O219" s="20">
        <v>8</v>
      </c>
      <c r="Q219">
        <f t="shared" si="3"/>
        <v>53</v>
      </c>
    </row>
    <row r="220" spans="1:17" x14ac:dyDescent="0.3">
      <c r="A220" s="20" t="s">
        <v>89</v>
      </c>
      <c r="B220" s="20">
        <v>187013</v>
      </c>
      <c r="C220" s="32">
        <v>42881</v>
      </c>
      <c r="D220" s="20" t="s">
        <v>255</v>
      </c>
      <c r="E220" s="20">
        <v>3</v>
      </c>
      <c r="F220" s="20">
        <v>3</v>
      </c>
      <c r="G220" s="20">
        <v>5</v>
      </c>
      <c r="H220" s="20">
        <v>9</v>
      </c>
      <c r="I220" s="20">
        <v>12</v>
      </c>
      <c r="J220" s="20">
        <v>12</v>
      </c>
      <c r="K220" s="20">
        <v>13</v>
      </c>
      <c r="L220" s="20">
        <v>15</v>
      </c>
      <c r="M220" s="20">
        <v>17</v>
      </c>
      <c r="N220" s="20">
        <v>24</v>
      </c>
      <c r="O220" s="20">
        <v>27</v>
      </c>
      <c r="Q220">
        <f t="shared" si="3"/>
        <v>137</v>
      </c>
    </row>
    <row r="221" spans="1:17" x14ac:dyDescent="0.3">
      <c r="A221" s="20" t="s">
        <v>89</v>
      </c>
      <c r="B221" s="20">
        <v>187014</v>
      </c>
      <c r="C221" s="32">
        <v>42881</v>
      </c>
      <c r="D221" s="20" t="s">
        <v>255</v>
      </c>
      <c r="E221" s="20">
        <v>6</v>
      </c>
      <c r="F221" s="20">
        <v>6</v>
      </c>
      <c r="G221" s="20">
        <v>8</v>
      </c>
      <c r="H221" s="20">
        <v>15</v>
      </c>
      <c r="I221" s="20">
        <v>20</v>
      </c>
      <c r="J221" s="20">
        <v>22</v>
      </c>
      <c r="K221" s="20">
        <v>22</v>
      </c>
      <c r="L221" s="20">
        <v>22</v>
      </c>
      <c r="M221" s="20">
        <v>22</v>
      </c>
      <c r="N221" s="20">
        <v>22</v>
      </c>
      <c r="O221" s="20">
        <v>22</v>
      </c>
      <c r="Q221">
        <f t="shared" si="3"/>
        <v>181</v>
      </c>
    </row>
    <row r="222" spans="1:17" x14ac:dyDescent="0.3">
      <c r="A222" s="20" t="s">
        <v>89</v>
      </c>
      <c r="B222" s="20">
        <v>187015</v>
      </c>
      <c r="C222" s="32">
        <v>42881</v>
      </c>
      <c r="D222" s="20" t="s">
        <v>255</v>
      </c>
      <c r="E222" s="20">
        <v>3</v>
      </c>
      <c r="F222" s="20">
        <v>3</v>
      </c>
      <c r="G222" s="20">
        <v>4</v>
      </c>
      <c r="H222" s="20">
        <v>6</v>
      </c>
      <c r="I222" s="20">
        <v>10</v>
      </c>
      <c r="J222" s="20">
        <v>11</v>
      </c>
      <c r="K222" s="20">
        <v>12</v>
      </c>
      <c r="L222" s="20">
        <v>12</v>
      </c>
      <c r="M222" s="20">
        <v>12</v>
      </c>
      <c r="N222" s="20">
        <v>12</v>
      </c>
      <c r="O222" s="20">
        <v>12</v>
      </c>
      <c r="Q222">
        <f t="shared" si="3"/>
        <v>94</v>
      </c>
    </row>
    <row r="223" spans="1:17" x14ac:dyDescent="0.3">
      <c r="A223" s="20" t="s">
        <v>89</v>
      </c>
      <c r="B223" s="20">
        <v>187133</v>
      </c>
      <c r="C223" s="32">
        <v>42881</v>
      </c>
      <c r="D223" s="20" t="s">
        <v>253</v>
      </c>
      <c r="E223" s="20">
        <v>67</v>
      </c>
      <c r="F223" s="20">
        <v>67</v>
      </c>
      <c r="G223" s="20">
        <v>82</v>
      </c>
      <c r="H223" s="20">
        <v>99</v>
      </c>
      <c r="I223" s="20">
        <v>100</v>
      </c>
      <c r="J223" s="20">
        <v>100</v>
      </c>
      <c r="K223" s="20">
        <v>100</v>
      </c>
      <c r="L223" s="20">
        <v>100</v>
      </c>
      <c r="M223" s="20">
        <v>100</v>
      </c>
      <c r="N223" s="20">
        <v>100</v>
      </c>
      <c r="O223" s="20">
        <v>100</v>
      </c>
      <c r="Q223">
        <f t="shared" si="3"/>
        <v>948</v>
      </c>
    </row>
    <row r="224" spans="1:17" x14ac:dyDescent="0.3">
      <c r="A224" s="20" t="s">
        <v>89</v>
      </c>
      <c r="B224" s="20">
        <v>187134</v>
      </c>
      <c r="C224" s="32">
        <v>42881</v>
      </c>
      <c r="D224" s="20" t="s">
        <v>253</v>
      </c>
      <c r="E224" s="20">
        <v>92</v>
      </c>
      <c r="F224" s="20">
        <v>92</v>
      </c>
      <c r="G224" s="20">
        <v>93</v>
      </c>
      <c r="H224" s="20">
        <v>99</v>
      </c>
      <c r="I224" s="20">
        <v>102</v>
      </c>
      <c r="J224" s="20">
        <v>104</v>
      </c>
      <c r="K224" s="20">
        <v>104</v>
      </c>
      <c r="L224" s="20">
        <v>104</v>
      </c>
      <c r="M224" s="20">
        <v>104</v>
      </c>
      <c r="N224" s="20">
        <v>104</v>
      </c>
      <c r="O224" s="20">
        <v>104</v>
      </c>
      <c r="Q224">
        <f t="shared" si="3"/>
        <v>1010</v>
      </c>
    </row>
    <row r="225" spans="1:17" x14ac:dyDescent="0.3">
      <c r="A225" s="20" t="s">
        <v>89</v>
      </c>
      <c r="B225" s="20">
        <v>187137</v>
      </c>
      <c r="C225" s="32">
        <v>42881</v>
      </c>
      <c r="D225" s="20" t="s">
        <v>253</v>
      </c>
      <c r="E225" s="20">
        <v>97</v>
      </c>
      <c r="F225" s="20">
        <v>97</v>
      </c>
      <c r="G225" s="20">
        <v>98</v>
      </c>
      <c r="H225" s="20">
        <v>103</v>
      </c>
      <c r="I225" s="20">
        <v>103</v>
      </c>
      <c r="J225" s="20">
        <v>103</v>
      </c>
      <c r="K225" s="20">
        <v>103</v>
      </c>
      <c r="L225" s="20">
        <v>103</v>
      </c>
      <c r="M225" s="20">
        <v>103</v>
      </c>
      <c r="N225" s="20">
        <v>103</v>
      </c>
      <c r="O225" s="20">
        <v>103</v>
      </c>
      <c r="Q225">
        <f t="shared" si="3"/>
        <v>1019</v>
      </c>
    </row>
    <row r="226" spans="1:17" x14ac:dyDescent="0.3">
      <c r="A226" s="20" t="s">
        <v>89</v>
      </c>
      <c r="B226" s="20">
        <v>187139</v>
      </c>
      <c r="C226" s="32">
        <v>42881</v>
      </c>
      <c r="D226" s="20" t="s">
        <v>253</v>
      </c>
      <c r="E226" s="20">
        <v>76</v>
      </c>
      <c r="F226" s="20">
        <v>76</v>
      </c>
      <c r="G226" s="20">
        <v>86</v>
      </c>
      <c r="H226" s="20">
        <v>118</v>
      </c>
      <c r="I226" s="20">
        <v>129</v>
      </c>
      <c r="J226" s="20">
        <v>129</v>
      </c>
      <c r="K226" s="20">
        <v>129</v>
      </c>
      <c r="L226" s="20">
        <v>129</v>
      </c>
      <c r="M226" s="20">
        <v>129</v>
      </c>
      <c r="N226" s="20">
        <v>129</v>
      </c>
      <c r="O226" s="20">
        <v>129</v>
      </c>
      <c r="Q226">
        <f t="shared" si="3"/>
        <v>1183</v>
      </c>
    </row>
    <row r="227" spans="1:17" x14ac:dyDescent="0.3">
      <c r="A227" s="20" t="s">
        <v>89</v>
      </c>
      <c r="B227" s="20">
        <v>187140</v>
      </c>
      <c r="C227" s="32">
        <v>42881</v>
      </c>
      <c r="D227" s="20" t="s">
        <v>253</v>
      </c>
      <c r="E227" s="20">
        <v>55</v>
      </c>
      <c r="F227" s="20">
        <v>55</v>
      </c>
      <c r="G227" s="20">
        <v>68</v>
      </c>
      <c r="H227" s="20">
        <v>91</v>
      </c>
      <c r="I227" s="20">
        <v>95</v>
      </c>
      <c r="J227" s="20">
        <v>95</v>
      </c>
      <c r="K227" s="20">
        <v>95</v>
      </c>
      <c r="L227" s="20">
        <v>95</v>
      </c>
      <c r="M227" s="20">
        <v>95</v>
      </c>
      <c r="N227" s="20">
        <v>95</v>
      </c>
      <c r="O227" s="20">
        <v>95</v>
      </c>
      <c r="Q227">
        <f t="shared" si="3"/>
        <v>879</v>
      </c>
    </row>
    <row r="228" spans="1:17" x14ac:dyDescent="0.3">
      <c r="A228" s="20" t="s">
        <v>89</v>
      </c>
      <c r="B228" s="20">
        <v>187141</v>
      </c>
      <c r="C228" s="32">
        <v>42881</v>
      </c>
      <c r="D228" s="20" t="s">
        <v>253</v>
      </c>
      <c r="E228" s="20">
        <v>38</v>
      </c>
      <c r="F228" s="20">
        <v>38</v>
      </c>
      <c r="G228" s="20">
        <v>49</v>
      </c>
      <c r="H228" s="20">
        <v>83</v>
      </c>
      <c r="I228" s="20">
        <v>94</v>
      </c>
      <c r="J228" s="20">
        <v>94</v>
      </c>
      <c r="K228" s="20">
        <v>94</v>
      </c>
      <c r="L228" s="20">
        <v>94</v>
      </c>
      <c r="M228" s="20">
        <v>94</v>
      </c>
      <c r="N228" s="20">
        <v>94</v>
      </c>
      <c r="O228" s="20">
        <v>94</v>
      </c>
      <c r="Q228">
        <f t="shared" si="3"/>
        <v>828</v>
      </c>
    </row>
    <row r="229" spans="1:17" x14ac:dyDescent="0.3">
      <c r="A229" s="20" t="s">
        <v>89</v>
      </c>
      <c r="B229" s="20">
        <v>187160</v>
      </c>
      <c r="C229" s="32">
        <v>42881</v>
      </c>
      <c r="D229" s="20" t="s">
        <v>253</v>
      </c>
      <c r="E229" s="20">
        <v>32</v>
      </c>
      <c r="F229" s="20">
        <v>32</v>
      </c>
      <c r="G229" s="20">
        <v>34</v>
      </c>
      <c r="H229" s="20">
        <v>51</v>
      </c>
      <c r="I229" s="20">
        <v>54</v>
      </c>
      <c r="J229" s="20">
        <v>57</v>
      </c>
      <c r="K229" s="20">
        <v>60</v>
      </c>
      <c r="L229" s="20">
        <v>67</v>
      </c>
      <c r="M229" s="20">
        <v>73</v>
      </c>
      <c r="N229" s="20">
        <v>73</v>
      </c>
      <c r="O229" s="20">
        <v>73</v>
      </c>
      <c r="Q229">
        <f t="shared" si="3"/>
        <v>574</v>
      </c>
    </row>
    <row r="230" spans="1:17" x14ac:dyDescent="0.3">
      <c r="A230" s="20" t="s">
        <v>89</v>
      </c>
      <c r="B230" s="20">
        <v>187161</v>
      </c>
      <c r="C230" s="32">
        <v>42881</v>
      </c>
      <c r="D230" s="20" t="s">
        <v>253</v>
      </c>
      <c r="E230" s="20">
        <v>7</v>
      </c>
      <c r="F230" s="20">
        <v>7</v>
      </c>
      <c r="G230" s="20">
        <v>10</v>
      </c>
      <c r="H230" s="20">
        <v>10</v>
      </c>
      <c r="I230" s="20">
        <v>10</v>
      </c>
      <c r="J230" s="20">
        <v>10</v>
      </c>
      <c r="K230" s="20">
        <v>10</v>
      </c>
      <c r="L230" s="20">
        <v>10</v>
      </c>
      <c r="M230" s="20">
        <v>10</v>
      </c>
      <c r="N230" s="20">
        <v>10</v>
      </c>
      <c r="O230" s="20">
        <v>10</v>
      </c>
      <c r="Q230">
        <f t="shared" si="3"/>
        <v>97</v>
      </c>
    </row>
    <row r="231" spans="1:17" x14ac:dyDescent="0.3">
      <c r="A231" s="20" t="s">
        <v>89</v>
      </c>
      <c r="B231" s="20">
        <v>187348</v>
      </c>
      <c r="C231" s="32">
        <v>42881</v>
      </c>
      <c r="D231" s="20" t="s">
        <v>259</v>
      </c>
      <c r="E231" s="20">
        <v>1</v>
      </c>
      <c r="F231" s="20">
        <v>1</v>
      </c>
      <c r="G231" s="20">
        <v>1</v>
      </c>
      <c r="H231" s="20">
        <v>3</v>
      </c>
      <c r="I231" s="20">
        <v>3</v>
      </c>
      <c r="J231" s="20">
        <v>3</v>
      </c>
      <c r="K231" s="20">
        <v>4</v>
      </c>
      <c r="L231" s="20">
        <v>4</v>
      </c>
      <c r="M231" s="20">
        <v>4</v>
      </c>
      <c r="N231" s="20">
        <v>4</v>
      </c>
      <c r="O231" s="20">
        <v>4</v>
      </c>
      <c r="Q231">
        <f t="shared" si="3"/>
        <v>31</v>
      </c>
    </row>
    <row r="232" spans="1:17" x14ac:dyDescent="0.3">
      <c r="A232" s="20" t="s">
        <v>89</v>
      </c>
      <c r="B232" s="20">
        <v>186987</v>
      </c>
      <c r="C232" s="32">
        <v>42881</v>
      </c>
      <c r="D232" s="20" t="s">
        <v>255</v>
      </c>
      <c r="E232" s="20">
        <v>15</v>
      </c>
      <c r="F232" s="20">
        <v>15</v>
      </c>
      <c r="G232" s="20">
        <v>15</v>
      </c>
      <c r="H232" s="20">
        <v>16</v>
      </c>
      <c r="I232" s="20">
        <v>16</v>
      </c>
      <c r="J232" s="20">
        <v>16</v>
      </c>
      <c r="K232" s="20">
        <v>16</v>
      </c>
      <c r="L232" s="20">
        <v>16</v>
      </c>
      <c r="M232" s="20">
        <v>16</v>
      </c>
      <c r="N232" s="20">
        <v>16</v>
      </c>
      <c r="O232" s="20">
        <v>16</v>
      </c>
      <c r="Q232">
        <f t="shared" si="3"/>
        <v>158</v>
      </c>
    </row>
    <row r="233" spans="1:17" x14ac:dyDescent="0.3">
      <c r="A233" s="20" t="s">
        <v>89</v>
      </c>
      <c r="B233" s="20">
        <v>205890</v>
      </c>
      <c r="C233" s="32">
        <v>42867</v>
      </c>
      <c r="D233" s="20" t="s">
        <v>253</v>
      </c>
      <c r="E233" s="20">
        <v>29</v>
      </c>
      <c r="F233" s="20">
        <v>29</v>
      </c>
      <c r="G233" s="20">
        <v>30</v>
      </c>
      <c r="H233" s="20">
        <v>31</v>
      </c>
      <c r="I233" s="20">
        <v>34</v>
      </c>
      <c r="J233" s="20">
        <v>73</v>
      </c>
      <c r="K233" s="20">
        <v>88</v>
      </c>
      <c r="L233" s="20">
        <v>90</v>
      </c>
      <c r="M233" s="20">
        <v>90</v>
      </c>
      <c r="N233" s="20">
        <v>90</v>
      </c>
      <c r="O233" s="20">
        <v>90</v>
      </c>
      <c r="Q233">
        <f t="shared" si="3"/>
        <v>645</v>
      </c>
    </row>
    <row r="234" spans="1:17" x14ac:dyDescent="0.3">
      <c r="A234" s="20" t="s">
        <v>89</v>
      </c>
      <c r="B234" s="20">
        <v>209474</v>
      </c>
      <c r="C234" s="32">
        <v>42867</v>
      </c>
      <c r="D234" s="20" t="s">
        <v>255</v>
      </c>
      <c r="E234" s="20">
        <v>4</v>
      </c>
      <c r="F234" s="20">
        <v>4</v>
      </c>
      <c r="G234" s="20">
        <v>9</v>
      </c>
      <c r="H234" s="20">
        <v>16</v>
      </c>
      <c r="I234" s="20">
        <v>21</v>
      </c>
      <c r="J234" s="20">
        <v>22</v>
      </c>
      <c r="K234" s="20">
        <v>23</v>
      </c>
      <c r="L234" s="20">
        <v>23</v>
      </c>
      <c r="M234" s="20">
        <v>23</v>
      </c>
      <c r="N234" s="20">
        <v>23</v>
      </c>
      <c r="O234" s="20">
        <v>23</v>
      </c>
      <c r="Q234">
        <f t="shared" si="3"/>
        <v>187</v>
      </c>
    </row>
    <row r="235" spans="1:17" x14ac:dyDescent="0.3">
      <c r="A235" s="20" t="s">
        <v>89</v>
      </c>
      <c r="B235" s="20">
        <v>205898</v>
      </c>
      <c r="C235" s="32">
        <v>42867</v>
      </c>
      <c r="D235" s="20" t="s">
        <v>258</v>
      </c>
      <c r="E235" s="20">
        <v>1</v>
      </c>
      <c r="F235" s="20">
        <v>2</v>
      </c>
      <c r="G235" s="20">
        <v>2</v>
      </c>
      <c r="H235" s="20">
        <v>3</v>
      </c>
      <c r="I235" s="20">
        <v>4</v>
      </c>
      <c r="J235" s="20">
        <v>4</v>
      </c>
      <c r="K235" s="20">
        <v>5</v>
      </c>
      <c r="L235" s="20">
        <v>5</v>
      </c>
      <c r="M235" s="20">
        <v>5</v>
      </c>
      <c r="N235" s="20">
        <v>5</v>
      </c>
      <c r="O235" s="20">
        <v>5</v>
      </c>
      <c r="Q235">
        <f t="shared" si="3"/>
        <v>40</v>
      </c>
    </row>
    <row r="236" spans="1:17" x14ac:dyDescent="0.3">
      <c r="A236" s="20" t="s">
        <v>89</v>
      </c>
      <c r="B236" s="20">
        <v>206643</v>
      </c>
      <c r="C236" s="32">
        <v>42867</v>
      </c>
      <c r="D236" s="20" t="s">
        <v>257</v>
      </c>
      <c r="E236" s="20">
        <v>1</v>
      </c>
      <c r="F236" s="20">
        <v>2</v>
      </c>
      <c r="G236" s="20">
        <v>2</v>
      </c>
      <c r="H236" s="20">
        <v>2</v>
      </c>
      <c r="I236" s="20">
        <v>2</v>
      </c>
      <c r="J236" s="20">
        <v>2</v>
      </c>
      <c r="K236" s="20">
        <v>3</v>
      </c>
      <c r="L236" s="20">
        <v>3</v>
      </c>
      <c r="M236" s="20">
        <v>3</v>
      </c>
      <c r="N236" s="20">
        <v>3</v>
      </c>
      <c r="O236" s="20">
        <v>4</v>
      </c>
      <c r="Q236">
        <f t="shared" si="3"/>
        <v>26</v>
      </c>
    </row>
    <row r="237" spans="1:17" x14ac:dyDescent="0.3">
      <c r="A237" s="20" t="s">
        <v>89</v>
      </c>
      <c r="B237" s="20">
        <v>207936</v>
      </c>
      <c r="C237" s="32">
        <v>42867</v>
      </c>
      <c r="D237" s="20" t="s">
        <v>253</v>
      </c>
      <c r="E237" s="20">
        <v>50</v>
      </c>
      <c r="F237" s="20">
        <v>50</v>
      </c>
      <c r="G237" s="20">
        <v>55</v>
      </c>
      <c r="H237" s="20">
        <v>66</v>
      </c>
      <c r="I237" s="20">
        <v>72</v>
      </c>
      <c r="J237" s="20">
        <v>73</v>
      </c>
      <c r="K237" s="20">
        <v>73</v>
      </c>
      <c r="L237" s="20">
        <v>73</v>
      </c>
      <c r="M237" s="20">
        <v>73</v>
      </c>
      <c r="N237" s="20">
        <v>73</v>
      </c>
      <c r="O237" s="20">
        <v>73</v>
      </c>
      <c r="Q237">
        <f t="shared" si="3"/>
        <v>681</v>
      </c>
    </row>
    <row r="238" spans="1:17" x14ac:dyDescent="0.3">
      <c r="A238" s="20" t="s">
        <v>89</v>
      </c>
      <c r="B238" s="20">
        <v>207937</v>
      </c>
      <c r="C238" s="32">
        <v>42867</v>
      </c>
      <c r="D238" s="20" t="s">
        <v>255</v>
      </c>
      <c r="E238" s="20">
        <v>5</v>
      </c>
      <c r="F238" s="20">
        <v>5</v>
      </c>
      <c r="G238" s="20">
        <v>5</v>
      </c>
      <c r="H238" s="20">
        <v>7</v>
      </c>
      <c r="I238" s="20">
        <v>7</v>
      </c>
      <c r="J238" s="20">
        <v>7</v>
      </c>
      <c r="K238" s="20">
        <v>8</v>
      </c>
      <c r="L238" s="20">
        <v>8</v>
      </c>
      <c r="M238" s="20">
        <v>8</v>
      </c>
      <c r="N238" s="20">
        <v>8</v>
      </c>
      <c r="O238" s="20">
        <v>8</v>
      </c>
      <c r="Q238">
        <f t="shared" si="3"/>
        <v>71</v>
      </c>
    </row>
    <row r="239" spans="1:17" x14ac:dyDescent="0.3">
      <c r="A239" s="20" t="s">
        <v>89</v>
      </c>
      <c r="B239" s="20">
        <v>207186</v>
      </c>
      <c r="C239" s="32">
        <v>42867</v>
      </c>
      <c r="D239" s="20" t="s">
        <v>255</v>
      </c>
      <c r="E239" s="20">
        <v>1</v>
      </c>
      <c r="F239" s="20">
        <v>1</v>
      </c>
      <c r="G239" s="20">
        <v>1</v>
      </c>
      <c r="H239" s="20">
        <v>4</v>
      </c>
      <c r="I239" s="20">
        <v>8</v>
      </c>
      <c r="J239" s="20">
        <v>12</v>
      </c>
      <c r="K239" s="20">
        <v>14</v>
      </c>
      <c r="L239" s="20">
        <v>14</v>
      </c>
      <c r="M239" s="20">
        <v>14</v>
      </c>
      <c r="N239" s="20">
        <v>15</v>
      </c>
      <c r="O239" s="20">
        <v>16</v>
      </c>
      <c r="Q239">
        <f t="shared" si="3"/>
        <v>99</v>
      </c>
    </row>
    <row r="240" spans="1:17" x14ac:dyDescent="0.3">
      <c r="A240" s="20" t="s">
        <v>89</v>
      </c>
      <c r="B240" s="20">
        <v>207408</v>
      </c>
      <c r="C240" s="32">
        <v>42867</v>
      </c>
      <c r="D240" s="20" t="s">
        <v>254</v>
      </c>
      <c r="E240" s="20">
        <v>1</v>
      </c>
      <c r="F240" s="20">
        <v>0</v>
      </c>
      <c r="G240" s="20">
        <v>0</v>
      </c>
      <c r="H240" s="20">
        <v>0</v>
      </c>
      <c r="I240" s="20">
        <v>0</v>
      </c>
      <c r="J240" s="20">
        <v>0</v>
      </c>
      <c r="K240" s="20">
        <v>0</v>
      </c>
      <c r="L240" s="20">
        <v>1</v>
      </c>
      <c r="M240" s="20">
        <v>1</v>
      </c>
      <c r="N240" s="20">
        <v>1</v>
      </c>
      <c r="O240" s="20">
        <v>1</v>
      </c>
      <c r="Q240">
        <f t="shared" si="3"/>
        <v>4</v>
      </c>
    </row>
    <row r="241" spans="1:17" x14ac:dyDescent="0.3">
      <c r="A241" s="20" t="s">
        <v>89</v>
      </c>
      <c r="B241" s="20">
        <v>207939</v>
      </c>
      <c r="C241" s="32">
        <v>42867</v>
      </c>
      <c r="D241" s="20" t="s">
        <v>256</v>
      </c>
      <c r="E241" s="20">
        <v>1</v>
      </c>
      <c r="F241" s="20">
        <v>1</v>
      </c>
      <c r="G241" s="20">
        <v>1</v>
      </c>
      <c r="H241" s="20">
        <v>2</v>
      </c>
      <c r="I241" s="20">
        <v>2</v>
      </c>
      <c r="J241" s="20">
        <v>2</v>
      </c>
      <c r="K241" s="20">
        <v>3</v>
      </c>
      <c r="L241" s="20">
        <v>3</v>
      </c>
      <c r="M241" s="20">
        <v>3</v>
      </c>
      <c r="N241" s="20">
        <v>3</v>
      </c>
      <c r="O241" s="20">
        <v>3</v>
      </c>
      <c r="Q241">
        <f t="shared" si="3"/>
        <v>23</v>
      </c>
    </row>
    <row r="242" spans="1:17" x14ac:dyDescent="0.3">
      <c r="A242" s="20" t="s">
        <v>89</v>
      </c>
      <c r="B242" s="20">
        <v>207266</v>
      </c>
      <c r="C242" s="32">
        <v>42867</v>
      </c>
      <c r="D242" s="20" t="s">
        <v>253</v>
      </c>
      <c r="E242" s="20">
        <v>24</v>
      </c>
      <c r="F242" s="20">
        <v>24</v>
      </c>
      <c r="G242" s="20">
        <v>27</v>
      </c>
      <c r="H242" s="20">
        <v>50</v>
      </c>
      <c r="I242" s="20">
        <v>68</v>
      </c>
      <c r="J242" s="20">
        <v>76</v>
      </c>
      <c r="K242" s="20">
        <v>81</v>
      </c>
      <c r="L242" s="20">
        <v>81</v>
      </c>
      <c r="M242" s="20">
        <v>81</v>
      </c>
      <c r="N242" s="20">
        <v>81</v>
      </c>
      <c r="O242" s="20">
        <v>81</v>
      </c>
      <c r="Q242">
        <f t="shared" si="3"/>
        <v>650</v>
      </c>
    </row>
    <row r="243" spans="1:17" x14ac:dyDescent="0.3">
      <c r="A243" s="20" t="s">
        <v>89</v>
      </c>
      <c r="B243" s="20">
        <v>207267</v>
      </c>
      <c r="C243" s="32">
        <v>42867</v>
      </c>
      <c r="D243" s="20" t="s">
        <v>255</v>
      </c>
      <c r="E243" s="20">
        <v>5</v>
      </c>
      <c r="F243" s="20">
        <v>5</v>
      </c>
      <c r="G243" s="20">
        <v>6</v>
      </c>
      <c r="H243" s="20">
        <v>10</v>
      </c>
      <c r="I243" s="20">
        <v>11</v>
      </c>
      <c r="J243" s="20">
        <v>11</v>
      </c>
      <c r="K243" s="20">
        <v>11</v>
      </c>
      <c r="L243" s="20">
        <v>11</v>
      </c>
      <c r="M243" s="20">
        <v>11</v>
      </c>
      <c r="N243" s="20">
        <v>11</v>
      </c>
      <c r="O243" s="20">
        <v>11</v>
      </c>
      <c r="Q243">
        <f t="shared" si="3"/>
        <v>98</v>
      </c>
    </row>
    <row r="244" spans="1:17" x14ac:dyDescent="0.3">
      <c r="A244" s="20" t="s">
        <v>89</v>
      </c>
      <c r="B244" s="20">
        <v>207505</v>
      </c>
      <c r="C244" s="32">
        <v>42867</v>
      </c>
      <c r="D244" s="20" t="s">
        <v>258</v>
      </c>
      <c r="E244" s="20">
        <v>1</v>
      </c>
      <c r="F244" s="20">
        <v>2</v>
      </c>
      <c r="G244" s="20">
        <v>2</v>
      </c>
      <c r="H244" s="20">
        <v>3</v>
      </c>
      <c r="I244" s="20">
        <v>3</v>
      </c>
      <c r="J244" s="20">
        <v>3</v>
      </c>
      <c r="K244" s="20">
        <v>3</v>
      </c>
      <c r="L244" s="20">
        <v>3</v>
      </c>
      <c r="M244" s="20">
        <v>3</v>
      </c>
      <c r="N244" s="20">
        <v>3</v>
      </c>
      <c r="O244" s="20">
        <v>3</v>
      </c>
      <c r="Q244">
        <f t="shared" si="3"/>
        <v>28</v>
      </c>
    </row>
    <row r="245" spans="1:17" x14ac:dyDescent="0.3">
      <c r="A245" s="20" t="s">
        <v>89</v>
      </c>
      <c r="B245" s="20">
        <v>207506</v>
      </c>
      <c r="C245" s="32">
        <v>42867</v>
      </c>
      <c r="D245" s="20" t="s">
        <v>261</v>
      </c>
      <c r="E245" s="20">
        <v>1</v>
      </c>
      <c r="F245" s="20">
        <v>1</v>
      </c>
      <c r="G245" s="20">
        <v>3</v>
      </c>
      <c r="H245" s="20">
        <v>3</v>
      </c>
      <c r="I245" s="20">
        <v>3</v>
      </c>
      <c r="J245" s="20">
        <v>3</v>
      </c>
      <c r="K245" s="20">
        <v>3</v>
      </c>
      <c r="L245" s="20">
        <v>3</v>
      </c>
      <c r="M245" s="20">
        <v>3</v>
      </c>
      <c r="N245" s="20">
        <v>3</v>
      </c>
      <c r="O245" s="20">
        <v>3</v>
      </c>
      <c r="Q245">
        <f t="shared" si="3"/>
        <v>28</v>
      </c>
    </row>
    <row r="246" spans="1:17" x14ac:dyDescent="0.3">
      <c r="A246" s="20" t="s">
        <v>89</v>
      </c>
      <c r="B246" s="20">
        <v>209077</v>
      </c>
      <c r="C246" s="32">
        <v>42867</v>
      </c>
      <c r="D246" s="20" t="s">
        <v>253</v>
      </c>
      <c r="E246" s="20">
        <v>39</v>
      </c>
      <c r="F246" s="20">
        <v>39</v>
      </c>
      <c r="G246" s="20">
        <v>47</v>
      </c>
      <c r="H246" s="20">
        <v>61</v>
      </c>
      <c r="I246" s="20">
        <v>61</v>
      </c>
      <c r="J246" s="20">
        <v>61</v>
      </c>
      <c r="K246" s="20">
        <v>61</v>
      </c>
      <c r="L246" s="20">
        <v>61</v>
      </c>
      <c r="M246" s="20">
        <v>61</v>
      </c>
      <c r="N246" s="20">
        <v>61</v>
      </c>
      <c r="O246" s="20">
        <v>61</v>
      </c>
      <c r="Q246">
        <f t="shared" si="3"/>
        <v>574</v>
      </c>
    </row>
    <row r="247" spans="1:17" x14ac:dyDescent="0.3">
      <c r="A247" s="20" t="s">
        <v>89</v>
      </c>
      <c r="B247" s="20">
        <v>209078</v>
      </c>
      <c r="C247" s="32">
        <v>42867</v>
      </c>
      <c r="D247" s="20" t="s">
        <v>255</v>
      </c>
      <c r="E247" s="20">
        <v>5</v>
      </c>
      <c r="F247" s="20">
        <v>5</v>
      </c>
      <c r="G247" s="20">
        <v>9</v>
      </c>
      <c r="H247" s="20">
        <v>13</v>
      </c>
      <c r="I247" s="20">
        <v>15</v>
      </c>
      <c r="J247" s="20">
        <v>18</v>
      </c>
      <c r="K247" s="20">
        <v>19</v>
      </c>
      <c r="L247" s="20">
        <v>20</v>
      </c>
      <c r="M247" s="20">
        <v>20</v>
      </c>
      <c r="N247" s="20">
        <v>20</v>
      </c>
      <c r="O247" s="20">
        <v>20</v>
      </c>
      <c r="Q247">
        <f t="shared" si="3"/>
        <v>159</v>
      </c>
    </row>
    <row r="248" spans="1:17" x14ac:dyDescent="0.3">
      <c r="A248" s="20" t="s">
        <v>89</v>
      </c>
      <c r="B248" s="20">
        <v>209782</v>
      </c>
      <c r="C248" s="32">
        <v>42867</v>
      </c>
      <c r="D248" s="20" t="s">
        <v>253</v>
      </c>
      <c r="E248" s="20">
        <v>25</v>
      </c>
      <c r="F248" s="20">
        <v>25</v>
      </c>
      <c r="G248" s="20">
        <v>36</v>
      </c>
      <c r="H248" s="20">
        <v>43</v>
      </c>
      <c r="I248" s="20">
        <v>50</v>
      </c>
      <c r="J248" s="20">
        <v>50</v>
      </c>
      <c r="K248" s="20">
        <v>50</v>
      </c>
      <c r="L248" s="20">
        <v>50</v>
      </c>
      <c r="M248" s="20">
        <v>50</v>
      </c>
      <c r="N248" s="20">
        <v>56</v>
      </c>
      <c r="O248" s="20">
        <v>76</v>
      </c>
      <c r="Q248">
        <f t="shared" si="3"/>
        <v>486</v>
      </c>
    </row>
    <row r="249" spans="1:17" x14ac:dyDescent="0.3">
      <c r="A249" s="20" t="s">
        <v>89</v>
      </c>
      <c r="B249" s="20">
        <v>209783</v>
      </c>
      <c r="C249" s="32">
        <v>42867</v>
      </c>
      <c r="D249" s="20" t="s">
        <v>255</v>
      </c>
      <c r="E249" s="20">
        <v>2</v>
      </c>
      <c r="F249" s="20">
        <v>2</v>
      </c>
      <c r="G249" s="20">
        <v>4</v>
      </c>
      <c r="H249" s="20">
        <v>5</v>
      </c>
      <c r="I249" s="20">
        <v>5</v>
      </c>
      <c r="J249" s="20">
        <v>5</v>
      </c>
      <c r="K249" s="20">
        <v>9</v>
      </c>
      <c r="L249" s="20">
        <v>10</v>
      </c>
      <c r="M249" s="20">
        <v>12</v>
      </c>
      <c r="N249" s="20">
        <v>13</v>
      </c>
      <c r="O249" s="20">
        <v>13</v>
      </c>
      <c r="Q249">
        <f t="shared" si="3"/>
        <v>78</v>
      </c>
    </row>
    <row r="250" spans="1:17" x14ac:dyDescent="0.3">
      <c r="A250" s="20" t="s">
        <v>89</v>
      </c>
      <c r="B250" s="20">
        <v>208741</v>
      </c>
      <c r="C250" s="32">
        <v>42867</v>
      </c>
      <c r="D250" s="20" t="s">
        <v>253</v>
      </c>
      <c r="E250" s="20">
        <v>45</v>
      </c>
      <c r="F250" s="20">
        <v>45</v>
      </c>
      <c r="G250" s="20">
        <v>53</v>
      </c>
      <c r="H250" s="20">
        <v>63</v>
      </c>
      <c r="I250" s="20">
        <v>71</v>
      </c>
      <c r="J250" s="20">
        <v>79</v>
      </c>
      <c r="K250" s="20">
        <v>79</v>
      </c>
      <c r="L250" s="20">
        <v>79</v>
      </c>
      <c r="M250" s="20">
        <v>79</v>
      </c>
      <c r="N250" s="20">
        <v>79</v>
      </c>
      <c r="O250" s="20">
        <v>79</v>
      </c>
      <c r="Q250">
        <f t="shared" si="3"/>
        <v>706</v>
      </c>
    </row>
    <row r="251" spans="1:17" x14ac:dyDescent="0.3">
      <c r="A251" s="20" t="s">
        <v>89</v>
      </c>
      <c r="B251" s="20">
        <v>208742</v>
      </c>
      <c r="C251" s="32">
        <v>42867</v>
      </c>
      <c r="D251" s="20" t="s">
        <v>255</v>
      </c>
      <c r="E251" s="20">
        <v>5</v>
      </c>
      <c r="F251" s="20">
        <v>5</v>
      </c>
      <c r="G251" s="20">
        <v>7</v>
      </c>
      <c r="H251" s="20">
        <v>13</v>
      </c>
      <c r="I251" s="20">
        <v>15</v>
      </c>
      <c r="J251" s="20">
        <v>16</v>
      </c>
      <c r="K251" s="20">
        <v>17</v>
      </c>
      <c r="L251" s="20">
        <v>18</v>
      </c>
      <c r="M251" s="20">
        <v>19</v>
      </c>
      <c r="N251" s="20">
        <v>19</v>
      </c>
      <c r="O251" s="20">
        <v>19</v>
      </c>
      <c r="Q251">
        <f t="shared" si="3"/>
        <v>148</v>
      </c>
    </row>
    <row r="252" spans="1:17" x14ac:dyDescent="0.3">
      <c r="A252" s="20" t="s">
        <v>89</v>
      </c>
      <c r="B252" s="20">
        <v>208744</v>
      </c>
      <c r="C252" s="32">
        <v>42867</v>
      </c>
      <c r="D252" s="20" t="s">
        <v>256</v>
      </c>
      <c r="E252" s="20">
        <v>1</v>
      </c>
      <c r="F252" s="20">
        <v>1</v>
      </c>
      <c r="G252" s="20">
        <v>1</v>
      </c>
      <c r="H252" s="20">
        <v>2</v>
      </c>
      <c r="I252" s="20">
        <v>2</v>
      </c>
      <c r="J252" s="20">
        <v>2</v>
      </c>
      <c r="K252" s="20">
        <v>2</v>
      </c>
      <c r="L252" s="20">
        <v>2</v>
      </c>
      <c r="M252" s="20">
        <v>2</v>
      </c>
      <c r="N252" s="20">
        <v>2</v>
      </c>
      <c r="O252" s="20">
        <v>2</v>
      </c>
      <c r="Q252">
        <f t="shared" si="3"/>
        <v>18</v>
      </c>
    </row>
    <row r="253" spans="1:17" x14ac:dyDescent="0.3">
      <c r="A253" s="20" t="s">
        <v>89</v>
      </c>
      <c r="B253" s="20">
        <v>209473</v>
      </c>
      <c r="C253" s="32">
        <v>42867</v>
      </c>
      <c r="D253" s="20" t="s">
        <v>253</v>
      </c>
      <c r="E253" s="20">
        <v>57</v>
      </c>
      <c r="F253" s="20">
        <v>57</v>
      </c>
      <c r="G253" s="20">
        <v>60</v>
      </c>
      <c r="H253" s="20">
        <v>70</v>
      </c>
      <c r="I253" s="20">
        <v>71</v>
      </c>
      <c r="J253" s="20">
        <v>71</v>
      </c>
      <c r="K253" s="20">
        <v>71</v>
      </c>
      <c r="L253" s="20">
        <v>71</v>
      </c>
      <c r="M253" s="20">
        <v>71</v>
      </c>
      <c r="N253" s="20">
        <v>71</v>
      </c>
      <c r="O253" s="20">
        <v>71</v>
      </c>
      <c r="Q253">
        <f t="shared" si="3"/>
        <v>684</v>
      </c>
    </row>
    <row r="254" spans="1:17" x14ac:dyDescent="0.3">
      <c r="A254" s="20" t="s">
        <v>89</v>
      </c>
      <c r="B254" s="20">
        <v>205891</v>
      </c>
      <c r="C254" s="32">
        <v>42867</v>
      </c>
      <c r="D254" s="20" t="s">
        <v>255</v>
      </c>
      <c r="E254" s="20">
        <v>4</v>
      </c>
      <c r="F254" s="20">
        <v>4</v>
      </c>
      <c r="G254" s="20">
        <v>4</v>
      </c>
      <c r="H254" s="20">
        <v>7</v>
      </c>
      <c r="I254" s="20">
        <v>9</v>
      </c>
      <c r="J254" s="20">
        <v>10</v>
      </c>
      <c r="K254" s="20">
        <v>11</v>
      </c>
      <c r="L254" s="20">
        <v>11</v>
      </c>
      <c r="M254" s="20">
        <v>11</v>
      </c>
      <c r="N254" s="20">
        <v>11</v>
      </c>
      <c r="O254" s="20">
        <v>11</v>
      </c>
      <c r="Q254">
        <f t="shared" si="3"/>
        <v>89</v>
      </c>
    </row>
    <row r="255" spans="1:17" x14ac:dyDescent="0.3">
      <c r="A255" s="20" t="s">
        <v>89</v>
      </c>
      <c r="B255" s="20">
        <v>201676</v>
      </c>
      <c r="C255" s="32">
        <v>42866</v>
      </c>
      <c r="D255" s="20" t="s">
        <v>255</v>
      </c>
      <c r="E255" s="20">
        <v>2</v>
      </c>
      <c r="F255" s="20">
        <v>2</v>
      </c>
      <c r="G255" s="20">
        <v>2</v>
      </c>
      <c r="H255" s="20">
        <v>3</v>
      </c>
      <c r="I255" s="20">
        <v>4</v>
      </c>
      <c r="J255" s="20">
        <v>8</v>
      </c>
      <c r="K255" s="20">
        <v>9</v>
      </c>
      <c r="L255" s="20">
        <v>9</v>
      </c>
      <c r="M255" s="20">
        <v>9</v>
      </c>
      <c r="N255" s="20">
        <v>10</v>
      </c>
      <c r="O255" s="20">
        <v>13</v>
      </c>
      <c r="Q255">
        <f t="shared" si="3"/>
        <v>69</v>
      </c>
    </row>
    <row r="256" spans="1:17" x14ac:dyDescent="0.3">
      <c r="A256" s="20" t="s">
        <v>89</v>
      </c>
      <c r="B256" s="20">
        <v>198891</v>
      </c>
      <c r="C256" s="32">
        <v>42866</v>
      </c>
      <c r="D256" s="20" t="s">
        <v>255</v>
      </c>
      <c r="E256" s="20">
        <v>19</v>
      </c>
      <c r="F256" s="20">
        <v>19</v>
      </c>
      <c r="G256" s="20">
        <v>20</v>
      </c>
      <c r="H256" s="20">
        <v>24</v>
      </c>
      <c r="I256" s="20">
        <v>24</v>
      </c>
      <c r="J256" s="20">
        <v>24</v>
      </c>
      <c r="K256" s="20">
        <v>24</v>
      </c>
      <c r="L256" s="20">
        <v>24</v>
      </c>
      <c r="M256" s="20">
        <v>24</v>
      </c>
      <c r="N256" s="20">
        <v>24</v>
      </c>
      <c r="O256" s="20">
        <v>24</v>
      </c>
      <c r="Q256">
        <f t="shared" si="3"/>
        <v>231</v>
      </c>
    </row>
    <row r="257" spans="1:17" x14ac:dyDescent="0.3">
      <c r="A257" s="20" t="s">
        <v>89</v>
      </c>
      <c r="B257" s="20">
        <v>201398</v>
      </c>
      <c r="C257" s="32">
        <v>42866</v>
      </c>
      <c r="D257" s="20" t="s">
        <v>255</v>
      </c>
      <c r="E257" s="20">
        <v>19</v>
      </c>
      <c r="F257" s="20">
        <v>19</v>
      </c>
      <c r="G257" s="20">
        <v>19</v>
      </c>
      <c r="H257" s="20">
        <v>20</v>
      </c>
      <c r="I257" s="20">
        <v>21</v>
      </c>
      <c r="J257" s="20">
        <v>21</v>
      </c>
      <c r="K257" s="20">
        <v>21</v>
      </c>
      <c r="L257" s="20">
        <v>21</v>
      </c>
      <c r="M257" s="20">
        <v>21</v>
      </c>
      <c r="N257" s="20">
        <v>21</v>
      </c>
      <c r="O257" s="20">
        <v>21</v>
      </c>
      <c r="Q257">
        <f t="shared" si="3"/>
        <v>205</v>
      </c>
    </row>
    <row r="258" spans="1:17" x14ac:dyDescent="0.3">
      <c r="A258" s="20" t="s">
        <v>89</v>
      </c>
      <c r="B258" s="20">
        <v>201403</v>
      </c>
      <c r="C258" s="32">
        <v>42866</v>
      </c>
      <c r="D258" s="20" t="s">
        <v>265</v>
      </c>
      <c r="E258" s="20">
        <v>1</v>
      </c>
      <c r="F258" s="20">
        <v>1</v>
      </c>
      <c r="G258" s="20">
        <v>2</v>
      </c>
      <c r="H258" s="20">
        <v>2</v>
      </c>
      <c r="I258" s="20">
        <v>2</v>
      </c>
      <c r="J258" s="20">
        <v>2</v>
      </c>
      <c r="K258" s="20">
        <v>2</v>
      </c>
      <c r="L258" s="20">
        <v>2</v>
      </c>
      <c r="M258" s="20">
        <v>2</v>
      </c>
      <c r="N258" s="20">
        <v>2</v>
      </c>
      <c r="O258" s="20">
        <v>2</v>
      </c>
      <c r="Q258">
        <f t="shared" si="3"/>
        <v>19</v>
      </c>
    </row>
    <row r="259" spans="1:17" x14ac:dyDescent="0.3">
      <c r="A259" s="20" t="s">
        <v>89</v>
      </c>
      <c r="B259" s="20">
        <v>200270</v>
      </c>
      <c r="C259" s="32">
        <v>42866</v>
      </c>
      <c r="D259" s="20" t="s">
        <v>253</v>
      </c>
      <c r="E259" s="20">
        <v>110</v>
      </c>
      <c r="F259" s="20">
        <v>110</v>
      </c>
      <c r="G259" s="20">
        <v>113</v>
      </c>
      <c r="H259" s="20">
        <v>115</v>
      </c>
      <c r="I259" s="20">
        <v>115</v>
      </c>
      <c r="J259" s="20">
        <v>115</v>
      </c>
      <c r="K259" s="20">
        <v>115</v>
      </c>
      <c r="L259" s="20">
        <v>115</v>
      </c>
      <c r="M259" s="20">
        <v>115</v>
      </c>
      <c r="N259" s="20">
        <v>115</v>
      </c>
      <c r="O259" s="20">
        <v>115</v>
      </c>
      <c r="Q259">
        <f t="shared" ref="Q259:Q322" si="4">SUM(F259:O259)</f>
        <v>1143</v>
      </c>
    </row>
    <row r="260" spans="1:17" x14ac:dyDescent="0.3">
      <c r="A260" s="20" t="s">
        <v>89</v>
      </c>
      <c r="B260" s="20">
        <v>200285</v>
      </c>
      <c r="C260" s="32">
        <v>42866</v>
      </c>
      <c r="D260" s="20" t="s">
        <v>255</v>
      </c>
      <c r="E260" s="20">
        <v>12</v>
      </c>
      <c r="F260" s="20">
        <v>12</v>
      </c>
      <c r="G260" s="20">
        <v>13</v>
      </c>
      <c r="H260" s="20">
        <v>14</v>
      </c>
      <c r="I260" s="20">
        <v>14</v>
      </c>
      <c r="J260" s="20">
        <v>16</v>
      </c>
      <c r="K260" s="20">
        <v>16</v>
      </c>
      <c r="L260" s="20">
        <v>16</v>
      </c>
      <c r="M260" s="20">
        <v>16</v>
      </c>
      <c r="N260" s="20">
        <v>16</v>
      </c>
      <c r="O260" s="20">
        <v>16</v>
      </c>
      <c r="Q260">
        <f t="shared" si="4"/>
        <v>149</v>
      </c>
    </row>
    <row r="261" spans="1:17" x14ac:dyDescent="0.3">
      <c r="A261" s="20" t="s">
        <v>89</v>
      </c>
      <c r="B261" s="20">
        <v>201539</v>
      </c>
      <c r="C261" s="32">
        <v>42866</v>
      </c>
      <c r="D261" s="20" t="s">
        <v>253</v>
      </c>
      <c r="E261" s="20">
        <v>89</v>
      </c>
      <c r="F261" s="20">
        <v>89</v>
      </c>
      <c r="G261" s="20">
        <v>94</v>
      </c>
      <c r="H261" s="20">
        <v>110</v>
      </c>
      <c r="I261" s="20">
        <v>117</v>
      </c>
      <c r="J261" s="20">
        <v>117</v>
      </c>
      <c r="K261" s="20">
        <v>117</v>
      </c>
      <c r="L261" s="20">
        <v>117</v>
      </c>
      <c r="M261" s="20">
        <v>117</v>
      </c>
      <c r="N261" s="20">
        <v>117</v>
      </c>
      <c r="O261" s="20">
        <v>117</v>
      </c>
      <c r="Q261">
        <f t="shared" si="4"/>
        <v>1112</v>
      </c>
    </row>
    <row r="262" spans="1:17" x14ac:dyDescent="0.3">
      <c r="A262" s="20" t="s">
        <v>89</v>
      </c>
      <c r="B262" s="20">
        <v>201540</v>
      </c>
      <c r="C262" s="32">
        <v>42866</v>
      </c>
      <c r="D262" s="20" t="s">
        <v>255</v>
      </c>
      <c r="E262" s="20">
        <v>7</v>
      </c>
      <c r="F262" s="20">
        <v>7</v>
      </c>
      <c r="G262" s="20">
        <v>7</v>
      </c>
      <c r="H262" s="20">
        <v>11</v>
      </c>
      <c r="I262" s="20">
        <v>13</v>
      </c>
      <c r="J262" s="20">
        <v>16</v>
      </c>
      <c r="K262" s="20">
        <v>20</v>
      </c>
      <c r="L262" s="20">
        <v>20</v>
      </c>
      <c r="M262" s="20">
        <v>21</v>
      </c>
      <c r="N262" s="20">
        <v>21</v>
      </c>
      <c r="O262" s="20">
        <v>22</v>
      </c>
      <c r="Q262">
        <f t="shared" si="4"/>
        <v>158</v>
      </c>
    </row>
    <row r="263" spans="1:17" x14ac:dyDescent="0.3">
      <c r="A263" s="20" t="s">
        <v>89</v>
      </c>
      <c r="B263" s="20">
        <v>201541</v>
      </c>
      <c r="C263" s="32">
        <v>42866</v>
      </c>
      <c r="D263" s="20" t="s">
        <v>256</v>
      </c>
      <c r="E263" s="20">
        <v>2</v>
      </c>
      <c r="F263" s="20">
        <v>2</v>
      </c>
      <c r="G263" s="20">
        <v>2</v>
      </c>
      <c r="H263" s="20">
        <v>3</v>
      </c>
      <c r="I263" s="20">
        <v>3</v>
      </c>
      <c r="J263" s="20">
        <v>3</v>
      </c>
      <c r="K263" s="20">
        <v>3</v>
      </c>
      <c r="L263" s="20">
        <v>3</v>
      </c>
      <c r="M263" s="20">
        <v>3</v>
      </c>
      <c r="N263" s="20">
        <v>3</v>
      </c>
      <c r="O263" s="20">
        <v>3</v>
      </c>
      <c r="Q263">
        <f t="shared" si="4"/>
        <v>28</v>
      </c>
    </row>
    <row r="264" spans="1:17" x14ac:dyDescent="0.3">
      <c r="A264" s="20" t="s">
        <v>89</v>
      </c>
      <c r="B264" s="20">
        <v>201546</v>
      </c>
      <c r="C264" s="32">
        <v>42866</v>
      </c>
      <c r="D264" s="20" t="s">
        <v>258</v>
      </c>
      <c r="E264" s="20">
        <v>1</v>
      </c>
      <c r="F264" s="20">
        <v>1</v>
      </c>
      <c r="G264" s="20">
        <v>1</v>
      </c>
      <c r="H264" s="20">
        <v>2</v>
      </c>
      <c r="I264" s="20">
        <v>2</v>
      </c>
      <c r="J264" s="20">
        <v>2</v>
      </c>
      <c r="K264" s="20">
        <v>3</v>
      </c>
      <c r="L264" s="20">
        <v>3</v>
      </c>
      <c r="M264" s="20">
        <v>3</v>
      </c>
      <c r="N264" s="20">
        <v>3</v>
      </c>
      <c r="O264" s="20">
        <v>3</v>
      </c>
      <c r="Q264">
        <f t="shared" si="4"/>
        <v>23</v>
      </c>
    </row>
    <row r="265" spans="1:17" x14ac:dyDescent="0.3">
      <c r="A265" s="20" t="s">
        <v>89</v>
      </c>
      <c r="B265" s="20">
        <v>201569</v>
      </c>
      <c r="C265" s="32">
        <v>42866</v>
      </c>
      <c r="D265" s="20" t="s">
        <v>259</v>
      </c>
      <c r="E265" s="20">
        <v>1</v>
      </c>
      <c r="F265" s="20">
        <v>1</v>
      </c>
      <c r="G265" s="20">
        <v>1</v>
      </c>
      <c r="H265" s="20">
        <v>3</v>
      </c>
      <c r="I265" s="20">
        <v>3</v>
      </c>
      <c r="J265" s="20">
        <v>3</v>
      </c>
      <c r="K265" s="20">
        <v>3</v>
      </c>
      <c r="L265" s="20">
        <v>3</v>
      </c>
      <c r="M265" s="20">
        <v>3</v>
      </c>
      <c r="N265" s="20">
        <v>3</v>
      </c>
      <c r="O265" s="20">
        <v>3</v>
      </c>
      <c r="Q265">
        <f t="shared" si="4"/>
        <v>26</v>
      </c>
    </row>
    <row r="266" spans="1:17" x14ac:dyDescent="0.3">
      <c r="A266" s="20" t="s">
        <v>89</v>
      </c>
      <c r="B266" s="20">
        <v>203347</v>
      </c>
      <c r="C266" s="32">
        <v>42866</v>
      </c>
      <c r="D266" s="20" t="s">
        <v>253</v>
      </c>
      <c r="E266" s="20">
        <v>104</v>
      </c>
      <c r="F266" s="20">
        <v>104</v>
      </c>
      <c r="G266" s="20">
        <v>107</v>
      </c>
      <c r="H266" s="20">
        <v>107</v>
      </c>
      <c r="I266" s="20">
        <v>107</v>
      </c>
      <c r="J266" s="20">
        <v>107</v>
      </c>
      <c r="K266" s="20">
        <v>107</v>
      </c>
      <c r="L266" s="20">
        <v>107</v>
      </c>
      <c r="M266" s="20">
        <v>107</v>
      </c>
      <c r="N266" s="20">
        <v>107</v>
      </c>
      <c r="O266" s="20">
        <v>107</v>
      </c>
      <c r="Q266">
        <f t="shared" si="4"/>
        <v>1067</v>
      </c>
    </row>
    <row r="267" spans="1:17" x14ac:dyDescent="0.3">
      <c r="A267" s="20" t="s">
        <v>89</v>
      </c>
      <c r="B267" s="20">
        <v>203348</v>
      </c>
      <c r="C267" s="32">
        <v>42866</v>
      </c>
      <c r="D267" s="20" t="s">
        <v>255</v>
      </c>
      <c r="E267" s="20">
        <v>4</v>
      </c>
      <c r="F267" s="20">
        <v>4</v>
      </c>
      <c r="G267" s="20">
        <v>6</v>
      </c>
      <c r="H267" s="20">
        <v>9</v>
      </c>
      <c r="I267" s="20">
        <v>14</v>
      </c>
      <c r="J267" s="20">
        <v>16</v>
      </c>
      <c r="K267" s="20">
        <v>19</v>
      </c>
      <c r="L267" s="20">
        <v>23</v>
      </c>
      <c r="M267" s="20">
        <v>23</v>
      </c>
      <c r="N267" s="20">
        <v>24</v>
      </c>
      <c r="O267" s="20">
        <v>24</v>
      </c>
      <c r="Q267">
        <f t="shared" si="4"/>
        <v>162</v>
      </c>
    </row>
    <row r="268" spans="1:17" x14ac:dyDescent="0.3">
      <c r="A268" s="20" t="s">
        <v>89</v>
      </c>
      <c r="B268" s="20">
        <v>203350</v>
      </c>
      <c r="C268" s="32">
        <v>42866</v>
      </c>
      <c r="D268" s="20" t="s">
        <v>256</v>
      </c>
      <c r="E268" s="20">
        <v>1</v>
      </c>
      <c r="F268" s="20">
        <v>1</v>
      </c>
      <c r="G268" s="20">
        <v>1</v>
      </c>
      <c r="H268" s="20">
        <v>2</v>
      </c>
      <c r="I268" s="20">
        <v>2</v>
      </c>
      <c r="J268" s="20">
        <v>3</v>
      </c>
      <c r="K268" s="20">
        <v>3</v>
      </c>
      <c r="L268" s="20">
        <v>3</v>
      </c>
      <c r="M268" s="20">
        <v>3</v>
      </c>
      <c r="N268" s="20">
        <v>3</v>
      </c>
      <c r="O268" s="20">
        <v>3</v>
      </c>
      <c r="Q268">
        <f t="shared" si="4"/>
        <v>24</v>
      </c>
    </row>
    <row r="269" spans="1:17" x14ac:dyDescent="0.3">
      <c r="A269" s="20" t="s">
        <v>89</v>
      </c>
      <c r="B269" s="20">
        <v>203417</v>
      </c>
      <c r="C269" s="32">
        <v>42866</v>
      </c>
      <c r="D269" s="20" t="s">
        <v>253</v>
      </c>
      <c r="E269" s="20">
        <v>10</v>
      </c>
      <c r="F269" s="20">
        <v>10</v>
      </c>
      <c r="G269" s="20">
        <v>20</v>
      </c>
      <c r="H269" s="20">
        <v>43</v>
      </c>
      <c r="I269" s="20">
        <v>70</v>
      </c>
      <c r="J269" s="20">
        <v>84</v>
      </c>
      <c r="K269" s="20">
        <v>94</v>
      </c>
      <c r="L269" s="20">
        <v>106</v>
      </c>
      <c r="M269" s="20">
        <v>107</v>
      </c>
      <c r="N269" s="20">
        <v>107</v>
      </c>
      <c r="O269" s="20">
        <v>107</v>
      </c>
      <c r="Q269">
        <f t="shared" si="4"/>
        <v>748</v>
      </c>
    </row>
    <row r="270" spans="1:17" x14ac:dyDescent="0.3">
      <c r="A270" s="20" t="s">
        <v>89</v>
      </c>
      <c r="B270" s="20">
        <v>203419</v>
      </c>
      <c r="C270" s="32">
        <v>42866</v>
      </c>
      <c r="D270" s="20" t="s">
        <v>256</v>
      </c>
      <c r="E270" s="20">
        <v>1</v>
      </c>
      <c r="F270" s="20">
        <v>1</v>
      </c>
      <c r="G270" s="20">
        <v>1</v>
      </c>
      <c r="H270" s="20">
        <v>2</v>
      </c>
      <c r="I270" s="20">
        <v>3</v>
      </c>
      <c r="J270" s="20">
        <v>3</v>
      </c>
      <c r="K270" s="20">
        <v>3</v>
      </c>
      <c r="L270" s="20">
        <v>3</v>
      </c>
      <c r="M270" s="20">
        <v>3</v>
      </c>
      <c r="N270" s="20">
        <v>3</v>
      </c>
      <c r="O270" s="20">
        <v>3</v>
      </c>
      <c r="Q270">
        <f t="shared" si="4"/>
        <v>25</v>
      </c>
    </row>
    <row r="271" spans="1:17" x14ac:dyDescent="0.3">
      <c r="A271" s="20" t="s">
        <v>89</v>
      </c>
      <c r="B271" s="20">
        <v>203501</v>
      </c>
      <c r="C271" s="32">
        <v>42866</v>
      </c>
      <c r="D271" s="20" t="s">
        <v>253</v>
      </c>
      <c r="E271" s="20">
        <v>90</v>
      </c>
      <c r="F271" s="20">
        <v>90</v>
      </c>
      <c r="G271" s="20">
        <v>96</v>
      </c>
      <c r="H271" s="20">
        <v>106</v>
      </c>
      <c r="I271" s="20">
        <v>106</v>
      </c>
      <c r="J271" s="20">
        <v>106</v>
      </c>
      <c r="K271" s="20">
        <v>106</v>
      </c>
      <c r="L271" s="20">
        <v>106</v>
      </c>
      <c r="M271" s="20">
        <v>106</v>
      </c>
      <c r="N271" s="20">
        <v>106</v>
      </c>
      <c r="O271" s="20">
        <v>106</v>
      </c>
      <c r="Q271">
        <f t="shared" si="4"/>
        <v>1034</v>
      </c>
    </row>
    <row r="272" spans="1:17" x14ac:dyDescent="0.3">
      <c r="A272" s="20" t="s">
        <v>89</v>
      </c>
      <c r="B272" s="20">
        <v>203502</v>
      </c>
      <c r="C272" s="32">
        <v>42866</v>
      </c>
      <c r="D272" s="20" t="s">
        <v>255</v>
      </c>
      <c r="E272" s="20">
        <v>2</v>
      </c>
      <c r="F272" s="20">
        <v>2</v>
      </c>
      <c r="G272" s="20">
        <v>2</v>
      </c>
      <c r="H272" s="20">
        <v>4</v>
      </c>
      <c r="I272" s="20">
        <v>9</v>
      </c>
      <c r="J272" s="20">
        <v>10</v>
      </c>
      <c r="K272" s="20">
        <v>10</v>
      </c>
      <c r="L272" s="20">
        <v>10</v>
      </c>
      <c r="M272" s="20">
        <v>12</v>
      </c>
      <c r="N272" s="20">
        <v>13</v>
      </c>
      <c r="O272" s="20">
        <v>18</v>
      </c>
      <c r="Q272">
        <f t="shared" si="4"/>
        <v>90</v>
      </c>
    </row>
    <row r="273" spans="1:17" x14ac:dyDescent="0.3">
      <c r="A273" s="20" t="s">
        <v>89</v>
      </c>
      <c r="B273" s="20">
        <v>204273</v>
      </c>
      <c r="C273" s="32">
        <v>42866</v>
      </c>
      <c r="D273" s="20" t="s">
        <v>255</v>
      </c>
      <c r="E273" s="20">
        <v>3</v>
      </c>
      <c r="F273" s="20">
        <v>3</v>
      </c>
      <c r="G273" s="20">
        <v>6</v>
      </c>
      <c r="H273" s="20">
        <v>10</v>
      </c>
      <c r="I273" s="20">
        <v>13</v>
      </c>
      <c r="J273" s="20">
        <v>16</v>
      </c>
      <c r="K273" s="20">
        <v>16</v>
      </c>
      <c r="L273" s="20">
        <v>16</v>
      </c>
      <c r="M273" s="20">
        <v>16</v>
      </c>
      <c r="N273" s="20">
        <v>16</v>
      </c>
      <c r="O273" s="20">
        <v>16</v>
      </c>
      <c r="Q273">
        <f t="shared" si="4"/>
        <v>128</v>
      </c>
    </row>
    <row r="274" spans="1:17" x14ac:dyDescent="0.3">
      <c r="A274" s="20" t="s">
        <v>89</v>
      </c>
      <c r="B274" s="20">
        <v>205512</v>
      </c>
      <c r="C274" s="32">
        <v>42866</v>
      </c>
      <c r="D274" s="20" t="s">
        <v>255</v>
      </c>
      <c r="E274" s="20">
        <v>5</v>
      </c>
      <c r="F274" s="20">
        <v>5</v>
      </c>
      <c r="G274" s="20">
        <v>8</v>
      </c>
      <c r="H274" s="20">
        <v>13</v>
      </c>
      <c r="I274" s="20">
        <v>13</v>
      </c>
      <c r="J274" s="20">
        <v>13</v>
      </c>
      <c r="K274" s="20">
        <v>15</v>
      </c>
      <c r="L274" s="20">
        <v>17</v>
      </c>
      <c r="M274" s="20">
        <v>17</v>
      </c>
      <c r="N274" s="20">
        <v>19</v>
      </c>
      <c r="O274" s="20">
        <v>22</v>
      </c>
      <c r="Q274">
        <f t="shared" si="4"/>
        <v>142</v>
      </c>
    </row>
    <row r="275" spans="1:17" x14ac:dyDescent="0.3">
      <c r="A275" s="20" t="s">
        <v>89</v>
      </c>
      <c r="B275" s="20">
        <v>204452</v>
      </c>
      <c r="C275" s="32">
        <v>42866</v>
      </c>
      <c r="D275" s="20" t="s">
        <v>258</v>
      </c>
      <c r="E275" s="20">
        <v>1</v>
      </c>
      <c r="F275" s="20">
        <v>1</v>
      </c>
      <c r="G275" s="20">
        <v>2</v>
      </c>
      <c r="H275" s="20">
        <v>2</v>
      </c>
      <c r="I275" s="20">
        <v>2</v>
      </c>
      <c r="J275" s="20">
        <v>2</v>
      </c>
      <c r="K275" s="20">
        <v>2</v>
      </c>
      <c r="L275" s="20">
        <v>2</v>
      </c>
      <c r="M275" s="20">
        <v>2</v>
      </c>
      <c r="N275" s="20">
        <v>2</v>
      </c>
      <c r="O275" s="20">
        <v>2</v>
      </c>
      <c r="Q275">
        <f t="shared" si="4"/>
        <v>19</v>
      </c>
    </row>
    <row r="276" spans="1:17" x14ac:dyDescent="0.3">
      <c r="A276" s="20" t="s">
        <v>89</v>
      </c>
      <c r="B276" s="20">
        <v>204535</v>
      </c>
      <c r="C276" s="32">
        <v>42866</v>
      </c>
      <c r="D276" s="20" t="s">
        <v>255</v>
      </c>
      <c r="E276" s="20">
        <v>3</v>
      </c>
      <c r="F276" s="20">
        <v>3</v>
      </c>
      <c r="G276" s="20">
        <v>4</v>
      </c>
      <c r="H276" s="20">
        <v>6</v>
      </c>
      <c r="I276" s="20">
        <v>8</v>
      </c>
      <c r="J276" s="20">
        <v>11</v>
      </c>
      <c r="K276" s="20">
        <v>13</v>
      </c>
      <c r="L276" s="20">
        <v>13</v>
      </c>
      <c r="M276" s="20">
        <v>14</v>
      </c>
      <c r="N276" s="20">
        <v>14</v>
      </c>
      <c r="O276" s="20">
        <v>15</v>
      </c>
      <c r="Q276">
        <f t="shared" si="4"/>
        <v>101</v>
      </c>
    </row>
    <row r="277" spans="1:17" x14ac:dyDescent="0.3">
      <c r="A277" s="20" t="s">
        <v>89</v>
      </c>
      <c r="B277" s="20">
        <v>204543</v>
      </c>
      <c r="C277" s="32">
        <v>42866</v>
      </c>
      <c r="D277" s="20" t="s">
        <v>254</v>
      </c>
      <c r="E277" s="20">
        <v>1</v>
      </c>
      <c r="F277" s="20">
        <v>0</v>
      </c>
      <c r="G277" s="20">
        <v>0</v>
      </c>
      <c r="H277" s="20">
        <v>0</v>
      </c>
      <c r="I277" s="20">
        <v>0</v>
      </c>
      <c r="J277" s="20">
        <v>0</v>
      </c>
      <c r="K277" s="20">
        <v>1</v>
      </c>
      <c r="L277" s="20">
        <v>1</v>
      </c>
      <c r="M277" s="20">
        <v>1</v>
      </c>
      <c r="N277" s="20">
        <v>1</v>
      </c>
      <c r="O277" s="20">
        <v>1</v>
      </c>
      <c r="Q277">
        <f t="shared" si="4"/>
        <v>5</v>
      </c>
    </row>
    <row r="278" spans="1:17" x14ac:dyDescent="0.3">
      <c r="A278" s="20" t="s">
        <v>89</v>
      </c>
      <c r="B278" s="20">
        <v>204643</v>
      </c>
      <c r="C278" s="32">
        <v>42866</v>
      </c>
      <c r="D278" s="20" t="s">
        <v>255</v>
      </c>
      <c r="E278" s="20">
        <v>2</v>
      </c>
      <c r="F278" s="20">
        <v>2</v>
      </c>
      <c r="G278" s="20">
        <v>3</v>
      </c>
      <c r="H278" s="20">
        <v>6</v>
      </c>
      <c r="I278" s="20">
        <v>7</v>
      </c>
      <c r="J278" s="20">
        <v>9</v>
      </c>
      <c r="K278" s="20">
        <v>13</v>
      </c>
      <c r="L278" s="20">
        <v>13</v>
      </c>
      <c r="M278" s="20">
        <v>13</v>
      </c>
      <c r="N278" s="20">
        <v>13</v>
      </c>
      <c r="O278" s="20">
        <v>13</v>
      </c>
      <c r="Q278">
        <f t="shared" si="4"/>
        <v>92</v>
      </c>
    </row>
    <row r="279" spans="1:17" x14ac:dyDescent="0.3">
      <c r="A279" s="20" t="s">
        <v>89</v>
      </c>
      <c r="B279" s="20">
        <v>204644</v>
      </c>
      <c r="C279" s="32">
        <v>42866</v>
      </c>
      <c r="D279" s="20" t="s">
        <v>256</v>
      </c>
      <c r="E279" s="20">
        <v>1</v>
      </c>
      <c r="F279" s="20">
        <v>1</v>
      </c>
      <c r="G279" s="20">
        <v>1</v>
      </c>
      <c r="H279" s="20">
        <v>2</v>
      </c>
      <c r="I279" s="20">
        <v>2</v>
      </c>
      <c r="J279" s="20">
        <v>2</v>
      </c>
      <c r="K279" s="20">
        <v>2</v>
      </c>
      <c r="L279" s="20">
        <v>2</v>
      </c>
      <c r="M279" s="20">
        <v>2</v>
      </c>
      <c r="N279" s="20">
        <v>2</v>
      </c>
      <c r="O279" s="20">
        <v>2</v>
      </c>
      <c r="Q279">
        <f t="shared" si="4"/>
        <v>18</v>
      </c>
    </row>
    <row r="280" spans="1:17" x14ac:dyDescent="0.3">
      <c r="A280" s="20" t="s">
        <v>89</v>
      </c>
      <c r="B280" s="20">
        <v>204222</v>
      </c>
      <c r="C280" s="32">
        <v>42866</v>
      </c>
      <c r="D280" s="20" t="s">
        <v>253</v>
      </c>
      <c r="E280" s="20">
        <v>4</v>
      </c>
      <c r="F280" s="20">
        <v>4</v>
      </c>
      <c r="G280" s="20">
        <v>22</v>
      </c>
      <c r="H280" s="20">
        <v>61</v>
      </c>
      <c r="I280" s="20">
        <v>64</v>
      </c>
      <c r="J280" s="20">
        <v>65</v>
      </c>
      <c r="K280" s="20">
        <v>70</v>
      </c>
      <c r="L280" s="20">
        <v>71</v>
      </c>
      <c r="M280" s="20">
        <v>82</v>
      </c>
      <c r="N280" s="20">
        <v>84</v>
      </c>
      <c r="O280" s="20">
        <v>85</v>
      </c>
      <c r="Q280">
        <f t="shared" si="4"/>
        <v>608</v>
      </c>
    </row>
    <row r="281" spans="1:17" x14ac:dyDescent="0.3">
      <c r="A281" s="20" t="s">
        <v>89</v>
      </c>
      <c r="B281" s="20">
        <v>204223</v>
      </c>
      <c r="C281" s="32">
        <v>42866</v>
      </c>
      <c r="D281" s="20" t="s">
        <v>255</v>
      </c>
      <c r="E281" s="20">
        <v>1</v>
      </c>
      <c r="F281" s="20">
        <v>1</v>
      </c>
      <c r="G281" s="20">
        <v>1</v>
      </c>
      <c r="H281" s="20">
        <v>5</v>
      </c>
      <c r="I281" s="20">
        <v>10</v>
      </c>
      <c r="J281" s="20">
        <v>12</v>
      </c>
      <c r="K281" s="20">
        <v>16</v>
      </c>
      <c r="L281" s="20">
        <v>18</v>
      </c>
      <c r="M281" s="20">
        <v>21</v>
      </c>
      <c r="N281" s="20">
        <v>21</v>
      </c>
      <c r="O281" s="20">
        <v>21</v>
      </c>
      <c r="Q281">
        <f t="shared" si="4"/>
        <v>126</v>
      </c>
    </row>
    <row r="282" spans="1:17" x14ac:dyDescent="0.3">
      <c r="A282" s="20" t="s">
        <v>89</v>
      </c>
      <c r="B282" s="20">
        <v>197981</v>
      </c>
      <c r="C282" s="32">
        <v>42866</v>
      </c>
      <c r="D282" s="20" t="s">
        <v>253</v>
      </c>
      <c r="E282" s="20">
        <v>92</v>
      </c>
      <c r="F282" s="20">
        <v>92</v>
      </c>
      <c r="G282" s="20">
        <v>102</v>
      </c>
      <c r="H282" s="20">
        <v>112</v>
      </c>
      <c r="I282" s="20">
        <v>113</v>
      </c>
      <c r="J282" s="20">
        <v>113</v>
      </c>
      <c r="K282" s="20">
        <v>113</v>
      </c>
      <c r="L282" s="20">
        <v>113</v>
      </c>
      <c r="M282" s="20">
        <v>113</v>
      </c>
      <c r="N282" s="20">
        <v>113</v>
      </c>
      <c r="O282" s="20">
        <v>113</v>
      </c>
      <c r="Q282">
        <f t="shared" si="4"/>
        <v>1097</v>
      </c>
    </row>
    <row r="283" spans="1:17" x14ac:dyDescent="0.3">
      <c r="A283" s="20" t="s">
        <v>89</v>
      </c>
      <c r="B283" s="20">
        <v>197982</v>
      </c>
      <c r="C283" s="32">
        <v>42866</v>
      </c>
      <c r="D283" s="20" t="s">
        <v>255</v>
      </c>
      <c r="E283" s="20">
        <v>5</v>
      </c>
      <c r="F283" s="20">
        <v>5</v>
      </c>
      <c r="G283" s="20">
        <v>6</v>
      </c>
      <c r="H283" s="20">
        <v>10</v>
      </c>
      <c r="I283" s="20">
        <v>13</v>
      </c>
      <c r="J283" s="20">
        <v>13</v>
      </c>
      <c r="K283" s="20">
        <v>13</v>
      </c>
      <c r="L283" s="20">
        <v>17</v>
      </c>
      <c r="M283" s="20">
        <v>18</v>
      </c>
      <c r="N283" s="20">
        <v>19</v>
      </c>
      <c r="O283" s="20">
        <v>20</v>
      </c>
      <c r="Q283">
        <f t="shared" si="4"/>
        <v>134</v>
      </c>
    </row>
    <row r="284" spans="1:17" x14ac:dyDescent="0.3">
      <c r="A284" s="20" t="s">
        <v>89</v>
      </c>
      <c r="B284" s="20">
        <v>198016</v>
      </c>
      <c r="C284" s="32">
        <v>42866</v>
      </c>
      <c r="D284" s="20" t="s">
        <v>255</v>
      </c>
      <c r="E284" s="20">
        <v>3</v>
      </c>
      <c r="F284" s="20">
        <v>3</v>
      </c>
      <c r="G284" s="20">
        <v>3</v>
      </c>
      <c r="H284" s="20">
        <v>4</v>
      </c>
      <c r="I284" s="20">
        <v>5</v>
      </c>
      <c r="J284" s="20">
        <v>6</v>
      </c>
      <c r="K284" s="20">
        <v>10</v>
      </c>
      <c r="L284" s="20">
        <v>10</v>
      </c>
      <c r="M284" s="20">
        <v>10</v>
      </c>
      <c r="N284" s="20">
        <v>12</v>
      </c>
      <c r="O284" s="20">
        <v>20</v>
      </c>
      <c r="Q284">
        <f t="shared" si="4"/>
        <v>83</v>
      </c>
    </row>
    <row r="285" spans="1:17" x14ac:dyDescent="0.3">
      <c r="A285" s="20" t="s">
        <v>89</v>
      </c>
      <c r="B285" s="20">
        <v>200005</v>
      </c>
      <c r="C285" s="32">
        <v>42866</v>
      </c>
      <c r="D285" s="20" t="s">
        <v>255</v>
      </c>
      <c r="E285" s="20">
        <v>16</v>
      </c>
      <c r="F285" s="20">
        <v>16</v>
      </c>
      <c r="G285" s="20">
        <v>17</v>
      </c>
      <c r="H285" s="20">
        <v>19</v>
      </c>
      <c r="I285" s="20">
        <v>20</v>
      </c>
      <c r="J285" s="20">
        <v>21</v>
      </c>
      <c r="K285" s="20">
        <v>21</v>
      </c>
      <c r="L285" s="20">
        <v>21</v>
      </c>
      <c r="M285" s="20">
        <v>21</v>
      </c>
      <c r="N285" s="20">
        <v>21</v>
      </c>
      <c r="O285" s="20">
        <v>21</v>
      </c>
      <c r="Q285">
        <f t="shared" si="4"/>
        <v>198</v>
      </c>
    </row>
    <row r="286" spans="1:17" x14ac:dyDescent="0.3">
      <c r="A286" s="20" t="s">
        <v>89</v>
      </c>
      <c r="B286" s="20">
        <v>199237</v>
      </c>
      <c r="C286" s="32">
        <v>42866</v>
      </c>
      <c r="D286" s="20" t="s">
        <v>255</v>
      </c>
      <c r="E286" s="20">
        <v>18</v>
      </c>
      <c r="F286" s="20">
        <v>18</v>
      </c>
      <c r="G286" s="20">
        <v>19</v>
      </c>
      <c r="H286" s="20">
        <v>23</v>
      </c>
      <c r="I286" s="20">
        <v>24</v>
      </c>
      <c r="J286" s="20">
        <v>26</v>
      </c>
      <c r="K286" s="20">
        <v>26</v>
      </c>
      <c r="L286" s="20">
        <v>26</v>
      </c>
      <c r="M286" s="20">
        <v>26</v>
      </c>
      <c r="N286" s="20">
        <v>26</v>
      </c>
      <c r="O286" s="20">
        <v>26</v>
      </c>
      <c r="Q286">
        <f t="shared" si="4"/>
        <v>240</v>
      </c>
    </row>
    <row r="287" spans="1:17" x14ac:dyDescent="0.3">
      <c r="A287" s="20" t="s">
        <v>89</v>
      </c>
      <c r="B287" s="20">
        <v>199238</v>
      </c>
      <c r="C287" s="32">
        <v>42866</v>
      </c>
      <c r="D287" s="20" t="s">
        <v>256</v>
      </c>
      <c r="E287" s="20">
        <v>1</v>
      </c>
      <c r="F287" s="20">
        <v>1</v>
      </c>
      <c r="G287" s="20">
        <v>2</v>
      </c>
      <c r="H287" s="20">
        <v>2</v>
      </c>
      <c r="I287" s="20">
        <v>3</v>
      </c>
      <c r="J287" s="20">
        <v>3</v>
      </c>
      <c r="K287" s="20">
        <v>3</v>
      </c>
      <c r="L287" s="20">
        <v>3</v>
      </c>
      <c r="M287" s="20">
        <v>3</v>
      </c>
      <c r="N287" s="20">
        <v>3</v>
      </c>
      <c r="O287" s="20">
        <v>3</v>
      </c>
      <c r="Q287">
        <f t="shared" si="4"/>
        <v>26</v>
      </c>
    </row>
    <row r="288" spans="1:17" x14ac:dyDescent="0.3">
      <c r="A288" s="20" t="s">
        <v>89</v>
      </c>
      <c r="B288" s="20">
        <v>199292</v>
      </c>
      <c r="C288" s="32">
        <v>42866</v>
      </c>
      <c r="D288" s="20" t="s">
        <v>255</v>
      </c>
      <c r="E288" s="20">
        <v>3</v>
      </c>
      <c r="F288" s="20">
        <v>3</v>
      </c>
      <c r="G288" s="20">
        <v>6</v>
      </c>
      <c r="H288" s="20">
        <v>12</v>
      </c>
      <c r="I288" s="20">
        <v>21</v>
      </c>
      <c r="J288" s="20">
        <v>22</v>
      </c>
      <c r="K288" s="20">
        <v>23</v>
      </c>
      <c r="L288" s="20">
        <v>26</v>
      </c>
      <c r="M288" s="20">
        <v>26</v>
      </c>
      <c r="N288" s="20">
        <v>27</v>
      </c>
      <c r="O288" s="20">
        <v>29</v>
      </c>
      <c r="Q288">
        <f t="shared" si="4"/>
        <v>195</v>
      </c>
    </row>
    <row r="289" spans="1:17" x14ac:dyDescent="0.3">
      <c r="A289" s="20" t="s">
        <v>89</v>
      </c>
      <c r="B289" s="20">
        <v>199302</v>
      </c>
      <c r="C289" s="32">
        <v>42866</v>
      </c>
      <c r="D289" s="20" t="s">
        <v>259</v>
      </c>
      <c r="E289" s="20">
        <v>1</v>
      </c>
      <c r="F289" s="20">
        <v>1</v>
      </c>
      <c r="G289" s="20">
        <v>1</v>
      </c>
      <c r="H289" s="20">
        <v>2</v>
      </c>
      <c r="I289" s="20">
        <v>2</v>
      </c>
      <c r="J289" s="20">
        <v>2</v>
      </c>
      <c r="K289" s="20">
        <v>2</v>
      </c>
      <c r="L289" s="20">
        <v>2</v>
      </c>
      <c r="M289" s="20">
        <v>2</v>
      </c>
      <c r="N289" s="20">
        <v>2</v>
      </c>
      <c r="O289" s="20">
        <v>2</v>
      </c>
      <c r="Q289">
        <f t="shared" si="4"/>
        <v>18</v>
      </c>
    </row>
    <row r="290" spans="1:17" x14ac:dyDescent="0.3">
      <c r="A290" s="20" t="s">
        <v>89</v>
      </c>
      <c r="B290" s="20">
        <v>201801</v>
      </c>
      <c r="C290" s="32">
        <v>42866</v>
      </c>
      <c r="D290" s="20" t="s">
        <v>255</v>
      </c>
      <c r="E290" s="20">
        <v>1</v>
      </c>
      <c r="F290" s="20">
        <v>1</v>
      </c>
      <c r="G290" s="20">
        <v>1</v>
      </c>
      <c r="H290" s="20">
        <v>2</v>
      </c>
      <c r="I290" s="20">
        <v>2</v>
      </c>
      <c r="J290" s="20">
        <v>2</v>
      </c>
      <c r="K290" s="20">
        <v>2</v>
      </c>
      <c r="L290" s="20">
        <v>2</v>
      </c>
      <c r="M290" s="20">
        <v>2</v>
      </c>
      <c r="N290" s="20">
        <v>2</v>
      </c>
      <c r="O290" s="20">
        <v>2</v>
      </c>
      <c r="Q290">
        <f t="shared" si="4"/>
        <v>18</v>
      </c>
    </row>
    <row r="291" spans="1:17" x14ac:dyDescent="0.3">
      <c r="A291" s="20" t="s">
        <v>89</v>
      </c>
      <c r="B291" s="20">
        <v>348684</v>
      </c>
      <c r="C291" s="32">
        <v>42864</v>
      </c>
      <c r="D291" s="20" t="s">
        <v>255</v>
      </c>
      <c r="E291" s="20">
        <v>15</v>
      </c>
      <c r="F291" s="20">
        <v>15</v>
      </c>
      <c r="G291" s="20">
        <v>17</v>
      </c>
      <c r="H291" s="20">
        <v>20</v>
      </c>
      <c r="I291" s="20">
        <v>21</v>
      </c>
      <c r="J291" s="20">
        <v>21</v>
      </c>
      <c r="K291" s="20">
        <v>21</v>
      </c>
      <c r="L291" s="20">
        <v>21</v>
      </c>
      <c r="M291" s="20">
        <v>21</v>
      </c>
      <c r="N291" s="20">
        <v>21</v>
      </c>
      <c r="O291" s="20">
        <v>21</v>
      </c>
      <c r="Q291">
        <f t="shared" si="4"/>
        <v>199</v>
      </c>
    </row>
    <row r="292" spans="1:17" x14ac:dyDescent="0.3">
      <c r="A292" s="20" t="s">
        <v>89</v>
      </c>
      <c r="B292" s="20">
        <v>348682</v>
      </c>
      <c r="C292" s="32">
        <v>42864</v>
      </c>
      <c r="D292" s="20" t="s">
        <v>256</v>
      </c>
      <c r="E292" s="20">
        <v>2</v>
      </c>
      <c r="F292" s="20">
        <v>2</v>
      </c>
      <c r="G292" s="20">
        <v>3</v>
      </c>
      <c r="H292" s="20">
        <v>5</v>
      </c>
      <c r="I292" s="20">
        <v>5</v>
      </c>
      <c r="J292" s="20">
        <v>5</v>
      </c>
      <c r="K292" s="20">
        <v>5</v>
      </c>
      <c r="L292" s="20">
        <v>5</v>
      </c>
      <c r="M292" s="20">
        <v>5</v>
      </c>
      <c r="N292" s="20">
        <v>5</v>
      </c>
      <c r="O292" s="20">
        <v>5</v>
      </c>
      <c r="Q292">
        <f t="shared" si="4"/>
        <v>45</v>
      </c>
    </row>
    <row r="293" spans="1:17" x14ac:dyDescent="0.3">
      <c r="A293" s="20" t="s">
        <v>89</v>
      </c>
      <c r="B293" s="20">
        <v>354024</v>
      </c>
      <c r="C293" s="32">
        <v>42864</v>
      </c>
      <c r="D293" s="20" t="s">
        <v>253</v>
      </c>
      <c r="E293" s="20">
        <v>71</v>
      </c>
      <c r="F293" s="20">
        <v>71</v>
      </c>
      <c r="G293" s="20">
        <v>78</v>
      </c>
      <c r="H293" s="20">
        <v>98</v>
      </c>
      <c r="I293" s="20">
        <v>118</v>
      </c>
      <c r="J293" s="20">
        <v>122</v>
      </c>
      <c r="K293" s="20">
        <v>125</v>
      </c>
      <c r="L293" s="20">
        <v>125</v>
      </c>
      <c r="M293" s="20">
        <v>125</v>
      </c>
      <c r="N293" s="20">
        <v>125</v>
      </c>
      <c r="O293" s="20">
        <v>125</v>
      </c>
      <c r="Q293">
        <f t="shared" si="4"/>
        <v>1112</v>
      </c>
    </row>
    <row r="294" spans="1:17" x14ac:dyDescent="0.3">
      <c r="A294" s="20" t="s">
        <v>89</v>
      </c>
      <c r="B294" s="20">
        <v>354025</v>
      </c>
      <c r="C294" s="32">
        <v>42864</v>
      </c>
      <c r="D294" s="20" t="s">
        <v>255</v>
      </c>
      <c r="E294" s="20">
        <v>12</v>
      </c>
      <c r="F294" s="20">
        <v>12</v>
      </c>
      <c r="G294" s="20">
        <v>19</v>
      </c>
      <c r="H294" s="20">
        <v>20</v>
      </c>
      <c r="I294" s="20">
        <v>20</v>
      </c>
      <c r="J294" s="20">
        <v>20</v>
      </c>
      <c r="K294" s="20">
        <v>20</v>
      </c>
      <c r="L294" s="20">
        <v>20</v>
      </c>
      <c r="M294" s="20">
        <v>20</v>
      </c>
      <c r="N294" s="20">
        <v>20</v>
      </c>
      <c r="O294" s="20">
        <v>20</v>
      </c>
      <c r="Q294">
        <f t="shared" si="4"/>
        <v>191</v>
      </c>
    </row>
    <row r="295" spans="1:17" x14ac:dyDescent="0.3">
      <c r="A295" s="20" t="s">
        <v>89</v>
      </c>
      <c r="B295" s="20">
        <v>354032</v>
      </c>
      <c r="C295" s="32">
        <v>42864</v>
      </c>
      <c r="D295" s="20" t="s">
        <v>258</v>
      </c>
      <c r="E295" s="20">
        <v>2</v>
      </c>
      <c r="F295" s="20">
        <v>2</v>
      </c>
      <c r="G295" s="20">
        <v>2</v>
      </c>
      <c r="H295" s="20">
        <v>3</v>
      </c>
      <c r="I295" s="20">
        <v>3</v>
      </c>
      <c r="J295" s="20">
        <v>3</v>
      </c>
      <c r="K295" s="20">
        <v>4</v>
      </c>
      <c r="L295" s="20">
        <v>4</v>
      </c>
      <c r="M295" s="20">
        <v>4</v>
      </c>
      <c r="N295" s="20">
        <v>4</v>
      </c>
      <c r="O295" s="20">
        <v>4</v>
      </c>
      <c r="Q295">
        <f t="shared" si="4"/>
        <v>33</v>
      </c>
    </row>
    <row r="296" spans="1:17" x14ac:dyDescent="0.3">
      <c r="A296" s="20" t="s">
        <v>89</v>
      </c>
      <c r="B296" s="20">
        <v>354567</v>
      </c>
      <c r="C296" s="32">
        <v>42864</v>
      </c>
      <c r="D296" s="20" t="s">
        <v>258</v>
      </c>
      <c r="E296" s="20">
        <v>2</v>
      </c>
      <c r="F296" s="20">
        <v>2</v>
      </c>
      <c r="G296" s="20">
        <v>2</v>
      </c>
      <c r="H296" s="20">
        <v>3</v>
      </c>
      <c r="I296" s="20">
        <v>4</v>
      </c>
      <c r="J296" s="20">
        <v>4</v>
      </c>
      <c r="K296" s="20">
        <v>4</v>
      </c>
      <c r="L296" s="20">
        <v>4</v>
      </c>
      <c r="M296" s="20">
        <v>4</v>
      </c>
      <c r="N296" s="20">
        <v>4</v>
      </c>
      <c r="O296" s="20">
        <v>4</v>
      </c>
      <c r="Q296">
        <f t="shared" si="4"/>
        <v>35</v>
      </c>
    </row>
    <row r="297" spans="1:17" x14ac:dyDescent="0.3">
      <c r="A297" s="20" t="s">
        <v>89</v>
      </c>
      <c r="B297" s="20">
        <v>354571</v>
      </c>
      <c r="C297" s="32">
        <v>42864</v>
      </c>
      <c r="D297" s="20" t="s">
        <v>257</v>
      </c>
      <c r="E297" s="20">
        <v>2</v>
      </c>
      <c r="F297" s="20">
        <v>3</v>
      </c>
      <c r="G297" s="20">
        <v>3</v>
      </c>
      <c r="H297" s="20">
        <v>4</v>
      </c>
      <c r="I297" s="20">
        <v>4</v>
      </c>
      <c r="J297" s="20">
        <v>4</v>
      </c>
      <c r="K297" s="20">
        <v>4</v>
      </c>
      <c r="L297" s="20">
        <v>4</v>
      </c>
      <c r="M297" s="20">
        <v>4</v>
      </c>
      <c r="N297" s="20">
        <v>4</v>
      </c>
      <c r="O297" s="20">
        <v>4</v>
      </c>
      <c r="Q297">
        <f t="shared" si="4"/>
        <v>38</v>
      </c>
    </row>
    <row r="298" spans="1:17" x14ac:dyDescent="0.3">
      <c r="A298" s="20" t="s">
        <v>89</v>
      </c>
      <c r="B298" s="20">
        <v>354574</v>
      </c>
      <c r="C298" s="32">
        <v>42864</v>
      </c>
      <c r="D298" s="20" t="s">
        <v>255</v>
      </c>
      <c r="E298" s="20">
        <v>17</v>
      </c>
      <c r="F298" s="20">
        <v>17</v>
      </c>
      <c r="G298" s="20">
        <v>18</v>
      </c>
      <c r="H298" s="20">
        <v>19</v>
      </c>
      <c r="I298" s="20">
        <v>19</v>
      </c>
      <c r="J298" s="20">
        <v>19</v>
      </c>
      <c r="K298" s="20">
        <v>19</v>
      </c>
      <c r="L298" s="20">
        <v>19</v>
      </c>
      <c r="M298" s="20">
        <v>19</v>
      </c>
      <c r="N298" s="20">
        <v>19</v>
      </c>
      <c r="O298" s="20">
        <v>19</v>
      </c>
      <c r="Q298">
        <f t="shared" si="4"/>
        <v>187</v>
      </c>
    </row>
    <row r="299" spans="1:17" x14ac:dyDescent="0.3">
      <c r="A299" s="20" t="s">
        <v>89</v>
      </c>
      <c r="B299" s="20">
        <v>352974</v>
      </c>
      <c r="C299" s="32">
        <v>42864</v>
      </c>
      <c r="D299" s="20" t="s">
        <v>253</v>
      </c>
      <c r="E299" s="20">
        <v>28</v>
      </c>
      <c r="F299" s="20">
        <v>28</v>
      </c>
      <c r="G299" s="20">
        <v>30</v>
      </c>
      <c r="H299" s="20">
        <v>37</v>
      </c>
      <c r="I299" s="20">
        <v>52</v>
      </c>
      <c r="J299" s="20">
        <v>53</v>
      </c>
      <c r="K299" s="20">
        <v>58</v>
      </c>
      <c r="L299" s="20">
        <v>78</v>
      </c>
      <c r="M299" s="20">
        <v>102</v>
      </c>
      <c r="N299" s="20">
        <v>107</v>
      </c>
      <c r="O299" s="20">
        <v>116</v>
      </c>
      <c r="Q299">
        <f t="shared" si="4"/>
        <v>661</v>
      </c>
    </row>
    <row r="300" spans="1:17" x14ac:dyDescent="0.3">
      <c r="A300" s="20" t="s">
        <v>89</v>
      </c>
      <c r="B300" s="20">
        <v>352975</v>
      </c>
      <c r="C300" s="32">
        <v>42864</v>
      </c>
      <c r="D300" s="20" t="s">
        <v>255</v>
      </c>
      <c r="E300" s="20">
        <v>8</v>
      </c>
      <c r="F300" s="20">
        <v>8</v>
      </c>
      <c r="G300" s="20">
        <v>13</v>
      </c>
      <c r="H300" s="20">
        <v>18</v>
      </c>
      <c r="I300" s="20">
        <v>21</v>
      </c>
      <c r="J300" s="20">
        <v>22</v>
      </c>
      <c r="K300" s="20">
        <v>22</v>
      </c>
      <c r="L300" s="20">
        <v>22</v>
      </c>
      <c r="M300" s="20">
        <v>27</v>
      </c>
      <c r="N300" s="20">
        <v>28</v>
      </c>
      <c r="O300" s="20">
        <v>28</v>
      </c>
      <c r="Q300">
        <f t="shared" si="4"/>
        <v>209</v>
      </c>
    </row>
    <row r="301" spans="1:17" x14ac:dyDescent="0.3">
      <c r="A301" s="20" t="s">
        <v>89</v>
      </c>
      <c r="B301" s="20">
        <v>352981</v>
      </c>
      <c r="C301" s="32">
        <v>42864</v>
      </c>
      <c r="D301" s="20" t="s">
        <v>258</v>
      </c>
      <c r="E301" s="20">
        <v>2</v>
      </c>
      <c r="F301" s="20">
        <v>2</v>
      </c>
      <c r="G301" s="20">
        <v>3</v>
      </c>
      <c r="H301" s="20">
        <v>3</v>
      </c>
      <c r="I301" s="20">
        <v>3</v>
      </c>
      <c r="J301" s="20">
        <v>3</v>
      </c>
      <c r="K301" s="20">
        <v>3</v>
      </c>
      <c r="L301" s="20">
        <v>3</v>
      </c>
      <c r="M301" s="20">
        <v>3</v>
      </c>
      <c r="N301" s="20">
        <v>3</v>
      </c>
      <c r="O301" s="20">
        <v>3</v>
      </c>
      <c r="Q301">
        <f t="shared" si="4"/>
        <v>29</v>
      </c>
    </row>
    <row r="302" spans="1:17" x14ac:dyDescent="0.3">
      <c r="A302" s="20" t="s">
        <v>89</v>
      </c>
      <c r="B302" s="20">
        <v>352984</v>
      </c>
      <c r="C302" s="32">
        <v>42864</v>
      </c>
      <c r="D302" s="20" t="s">
        <v>259</v>
      </c>
      <c r="E302" s="20">
        <v>1</v>
      </c>
      <c r="F302" s="20">
        <v>2</v>
      </c>
      <c r="G302" s="20">
        <v>2</v>
      </c>
      <c r="H302" s="20">
        <v>2</v>
      </c>
      <c r="I302" s="20">
        <v>2</v>
      </c>
      <c r="J302" s="20">
        <v>4</v>
      </c>
      <c r="K302" s="20">
        <v>5</v>
      </c>
      <c r="L302" s="20">
        <v>5</v>
      </c>
      <c r="M302" s="20">
        <v>5</v>
      </c>
      <c r="N302" s="20">
        <v>5</v>
      </c>
      <c r="O302" s="20">
        <v>5</v>
      </c>
      <c r="Q302">
        <f t="shared" si="4"/>
        <v>37</v>
      </c>
    </row>
    <row r="303" spans="1:17" x14ac:dyDescent="0.3">
      <c r="A303" s="20" t="s">
        <v>89</v>
      </c>
      <c r="B303" s="20">
        <v>353171</v>
      </c>
      <c r="C303" s="32">
        <v>42864</v>
      </c>
      <c r="D303" s="20" t="s">
        <v>255</v>
      </c>
      <c r="E303" s="20">
        <v>8</v>
      </c>
      <c r="F303" s="20">
        <v>8</v>
      </c>
      <c r="G303" s="20">
        <v>9</v>
      </c>
      <c r="H303" s="20">
        <v>20</v>
      </c>
      <c r="I303" s="20">
        <v>24</v>
      </c>
      <c r="J303" s="20">
        <v>24</v>
      </c>
      <c r="K303" s="20">
        <v>24</v>
      </c>
      <c r="L303" s="20">
        <v>24</v>
      </c>
      <c r="M303" s="20">
        <v>24</v>
      </c>
      <c r="N303" s="20">
        <v>24</v>
      </c>
      <c r="O303" s="20">
        <v>24</v>
      </c>
      <c r="Q303">
        <f t="shared" si="4"/>
        <v>205</v>
      </c>
    </row>
    <row r="304" spans="1:17" x14ac:dyDescent="0.3">
      <c r="A304" s="20" t="s">
        <v>89</v>
      </c>
      <c r="B304" s="20">
        <v>353172</v>
      </c>
      <c r="C304" s="32">
        <v>42864</v>
      </c>
      <c r="D304" s="20" t="s">
        <v>253</v>
      </c>
      <c r="E304" s="20">
        <v>34</v>
      </c>
      <c r="F304" s="20">
        <v>34</v>
      </c>
      <c r="G304" s="20">
        <v>39</v>
      </c>
      <c r="H304" s="20">
        <v>62</v>
      </c>
      <c r="I304" s="20">
        <v>101</v>
      </c>
      <c r="J304" s="20">
        <v>109</v>
      </c>
      <c r="K304" s="20">
        <v>113</v>
      </c>
      <c r="L304" s="20">
        <v>113</v>
      </c>
      <c r="M304" s="20">
        <v>113</v>
      </c>
      <c r="N304" s="20">
        <v>113</v>
      </c>
      <c r="O304" s="20">
        <v>113</v>
      </c>
      <c r="Q304">
        <f t="shared" si="4"/>
        <v>910</v>
      </c>
    </row>
    <row r="305" spans="1:17" x14ac:dyDescent="0.3">
      <c r="A305" s="20" t="s">
        <v>89</v>
      </c>
      <c r="B305" s="20">
        <v>352755</v>
      </c>
      <c r="C305" s="32">
        <v>42864</v>
      </c>
      <c r="D305" s="20" t="s">
        <v>253</v>
      </c>
      <c r="E305" s="20">
        <v>115</v>
      </c>
      <c r="F305" s="20">
        <v>115</v>
      </c>
      <c r="G305" s="20">
        <v>123</v>
      </c>
      <c r="H305" s="20">
        <v>133</v>
      </c>
      <c r="I305" s="20">
        <v>133</v>
      </c>
      <c r="J305" s="20">
        <v>133</v>
      </c>
      <c r="K305" s="20">
        <v>133</v>
      </c>
      <c r="L305" s="20">
        <v>133</v>
      </c>
      <c r="M305" s="20">
        <v>133</v>
      </c>
      <c r="N305" s="20">
        <v>133</v>
      </c>
      <c r="O305" s="20">
        <v>133</v>
      </c>
      <c r="Q305">
        <f t="shared" si="4"/>
        <v>1302</v>
      </c>
    </row>
    <row r="306" spans="1:17" x14ac:dyDescent="0.3">
      <c r="A306" s="20" t="s">
        <v>89</v>
      </c>
      <c r="B306" s="20">
        <v>352756</v>
      </c>
      <c r="C306" s="32">
        <v>42864</v>
      </c>
      <c r="D306" s="20" t="s">
        <v>255</v>
      </c>
      <c r="E306" s="20">
        <v>14</v>
      </c>
      <c r="F306" s="20">
        <v>14</v>
      </c>
      <c r="G306" s="20">
        <v>17</v>
      </c>
      <c r="H306" s="20">
        <v>21</v>
      </c>
      <c r="I306" s="20">
        <v>23</v>
      </c>
      <c r="J306" s="20">
        <v>23</v>
      </c>
      <c r="K306" s="20">
        <v>23</v>
      </c>
      <c r="L306" s="20">
        <v>23</v>
      </c>
      <c r="M306" s="20">
        <v>23</v>
      </c>
      <c r="N306" s="20">
        <v>23</v>
      </c>
      <c r="O306" s="20">
        <v>23</v>
      </c>
      <c r="Q306">
        <f t="shared" si="4"/>
        <v>213</v>
      </c>
    </row>
    <row r="307" spans="1:17" x14ac:dyDescent="0.3">
      <c r="A307" s="20" t="s">
        <v>89</v>
      </c>
      <c r="B307" s="20">
        <v>352760</v>
      </c>
      <c r="C307" s="32">
        <v>42864</v>
      </c>
      <c r="D307" s="20" t="s">
        <v>261</v>
      </c>
      <c r="E307" s="20">
        <v>3</v>
      </c>
      <c r="F307" s="20">
        <v>3</v>
      </c>
      <c r="G307" s="20">
        <v>4</v>
      </c>
      <c r="H307" s="20">
        <v>4</v>
      </c>
      <c r="I307" s="20">
        <v>4</v>
      </c>
      <c r="J307" s="20">
        <v>4</v>
      </c>
      <c r="K307" s="20">
        <v>4</v>
      </c>
      <c r="L307" s="20">
        <v>4</v>
      </c>
      <c r="M307" s="20">
        <v>4</v>
      </c>
      <c r="N307" s="20">
        <v>4</v>
      </c>
      <c r="O307" s="20">
        <v>4</v>
      </c>
      <c r="Q307">
        <f t="shared" si="4"/>
        <v>39</v>
      </c>
    </row>
    <row r="308" spans="1:17" x14ac:dyDescent="0.3">
      <c r="A308" s="20" t="s">
        <v>89</v>
      </c>
      <c r="B308" s="20">
        <v>353683</v>
      </c>
      <c r="C308" s="32">
        <v>42864</v>
      </c>
      <c r="D308" s="20" t="s">
        <v>255</v>
      </c>
      <c r="E308" s="20">
        <v>4</v>
      </c>
      <c r="F308" s="20">
        <v>4</v>
      </c>
      <c r="G308" s="20">
        <v>6</v>
      </c>
      <c r="H308" s="20">
        <v>10</v>
      </c>
      <c r="I308" s="20">
        <v>13</v>
      </c>
      <c r="J308" s="20">
        <v>14</v>
      </c>
      <c r="K308" s="20">
        <v>14</v>
      </c>
      <c r="L308" s="20">
        <v>14</v>
      </c>
      <c r="M308" s="20">
        <v>14</v>
      </c>
      <c r="N308" s="20">
        <v>14</v>
      </c>
      <c r="O308" s="20">
        <v>14</v>
      </c>
      <c r="Q308">
        <f t="shared" si="4"/>
        <v>117</v>
      </c>
    </row>
    <row r="309" spans="1:17" x14ac:dyDescent="0.3">
      <c r="A309" s="20" t="s">
        <v>89</v>
      </c>
      <c r="B309" s="20">
        <v>352488</v>
      </c>
      <c r="C309" s="32">
        <v>42864</v>
      </c>
      <c r="D309" s="20" t="s">
        <v>253</v>
      </c>
      <c r="E309" s="20">
        <v>129</v>
      </c>
      <c r="F309" s="20">
        <v>129</v>
      </c>
      <c r="G309" s="20">
        <v>132</v>
      </c>
      <c r="H309" s="20">
        <v>132</v>
      </c>
      <c r="I309" s="20">
        <v>132</v>
      </c>
      <c r="J309" s="20">
        <v>132</v>
      </c>
      <c r="K309" s="20">
        <v>132</v>
      </c>
      <c r="L309" s="20">
        <v>132</v>
      </c>
      <c r="M309" s="20">
        <v>132</v>
      </c>
      <c r="N309" s="20">
        <v>132</v>
      </c>
      <c r="O309" s="20">
        <v>132</v>
      </c>
      <c r="Q309">
        <f t="shared" si="4"/>
        <v>1317</v>
      </c>
    </row>
    <row r="310" spans="1:17" x14ac:dyDescent="0.3">
      <c r="A310" s="20" t="s">
        <v>89</v>
      </c>
      <c r="B310" s="20">
        <v>352489</v>
      </c>
      <c r="C310" s="32">
        <v>42864</v>
      </c>
      <c r="D310" s="20" t="s">
        <v>255</v>
      </c>
      <c r="E310" s="20">
        <v>18</v>
      </c>
      <c r="F310" s="20">
        <v>18</v>
      </c>
      <c r="G310" s="20">
        <v>18</v>
      </c>
      <c r="H310" s="20">
        <v>19</v>
      </c>
      <c r="I310" s="20">
        <v>19</v>
      </c>
      <c r="J310" s="20">
        <v>19</v>
      </c>
      <c r="K310" s="20">
        <v>19</v>
      </c>
      <c r="L310" s="20">
        <v>19</v>
      </c>
      <c r="M310" s="20">
        <v>19</v>
      </c>
      <c r="N310" s="20">
        <v>19</v>
      </c>
      <c r="O310" s="20">
        <v>19</v>
      </c>
      <c r="Q310">
        <f t="shared" si="4"/>
        <v>188</v>
      </c>
    </row>
    <row r="311" spans="1:17" x14ac:dyDescent="0.3">
      <c r="A311" s="20" t="s">
        <v>89</v>
      </c>
      <c r="B311" s="20">
        <v>352490</v>
      </c>
      <c r="C311" s="32">
        <v>42864</v>
      </c>
      <c r="D311" s="20" t="s">
        <v>256</v>
      </c>
      <c r="E311" s="20">
        <v>3</v>
      </c>
      <c r="F311" s="20">
        <v>3</v>
      </c>
      <c r="G311" s="20">
        <v>3</v>
      </c>
      <c r="H311" s="20">
        <v>4</v>
      </c>
      <c r="I311" s="20">
        <v>4</v>
      </c>
      <c r="J311" s="20">
        <v>4</v>
      </c>
      <c r="K311" s="20">
        <v>4</v>
      </c>
      <c r="L311" s="20">
        <v>4</v>
      </c>
      <c r="M311" s="20">
        <v>4</v>
      </c>
      <c r="N311" s="20">
        <v>4</v>
      </c>
      <c r="O311" s="20">
        <v>4</v>
      </c>
      <c r="Q311">
        <f t="shared" si="4"/>
        <v>38</v>
      </c>
    </row>
    <row r="312" spans="1:17" x14ac:dyDescent="0.3">
      <c r="A312" s="20" t="s">
        <v>89</v>
      </c>
      <c r="B312" s="20">
        <v>357196</v>
      </c>
      <c r="C312" s="32">
        <v>42864</v>
      </c>
      <c r="D312" s="20" t="s">
        <v>253</v>
      </c>
      <c r="E312" s="20">
        <v>87</v>
      </c>
      <c r="F312" s="20">
        <v>87</v>
      </c>
      <c r="G312" s="20">
        <v>95</v>
      </c>
      <c r="H312" s="20">
        <v>107</v>
      </c>
      <c r="I312" s="20">
        <v>107</v>
      </c>
      <c r="J312" s="20">
        <v>107</v>
      </c>
      <c r="K312" s="20">
        <v>107</v>
      </c>
      <c r="L312" s="20">
        <v>107</v>
      </c>
      <c r="M312" s="20">
        <v>107</v>
      </c>
      <c r="N312" s="20">
        <v>107</v>
      </c>
      <c r="O312" s="20">
        <v>107</v>
      </c>
      <c r="Q312">
        <f t="shared" si="4"/>
        <v>1038</v>
      </c>
    </row>
    <row r="313" spans="1:17" x14ac:dyDescent="0.3">
      <c r="A313" s="20" t="s">
        <v>89</v>
      </c>
      <c r="B313" s="20">
        <v>357197</v>
      </c>
      <c r="C313" s="32">
        <v>42864</v>
      </c>
      <c r="D313" s="20" t="s">
        <v>255</v>
      </c>
      <c r="E313" s="20">
        <v>14</v>
      </c>
      <c r="F313" s="20">
        <v>14</v>
      </c>
      <c r="G313" s="20">
        <v>17</v>
      </c>
      <c r="H313" s="20">
        <v>19</v>
      </c>
      <c r="I313" s="20">
        <v>19</v>
      </c>
      <c r="J313" s="20">
        <v>19</v>
      </c>
      <c r="K313" s="20">
        <v>19</v>
      </c>
      <c r="L313" s="20">
        <v>19</v>
      </c>
      <c r="M313" s="20">
        <v>19</v>
      </c>
      <c r="N313" s="20">
        <v>19</v>
      </c>
      <c r="O313" s="20">
        <v>19</v>
      </c>
      <c r="Q313">
        <f t="shared" si="4"/>
        <v>183</v>
      </c>
    </row>
    <row r="314" spans="1:17" x14ac:dyDescent="0.3">
      <c r="A314" s="20" t="s">
        <v>89</v>
      </c>
      <c r="B314" s="20">
        <v>357199</v>
      </c>
      <c r="C314" s="32">
        <v>42864</v>
      </c>
      <c r="D314" s="20" t="s">
        <v>256</v>
      </c>
      <c r="E314" s="20">
        <v>2</v>
      </c>
      <c r="F314" s="20">
        <v>2</v>
      </c>
      <c r="G314" s="20">
        <v>2</v>
      </c>
      <c r="H314" s="20">
        <v>3</v>
      </c>
      <c r="I314" s="20">
        <v>3</v>
      </c>
      <c r="J314" s="20">
        <v>3</v>
      </c>
      <c r="K314" s="20">
        <v>3</v>
      </c>
      <c r="L314" s="20">
        <v>3</v>
      </c>
      <c r="M314" s="20">
        <v>3</v>
      </c>
      <c r="N314" s="20">
        <v>3</v>
      </c>
      <c r="O314" s="20">
        <v>3</v>
      </c>
      <c r="Q314">
        <f t="shared" si="4"/>
        <v>28</v>
      </c>
    </row>
    <row r="315" spans="1:17" x14ac:dyDescent="0.3">
      <c r="A315" s="20" t="s">
        <v>89</v>
      </c>
      <c r="B315" s="20">
        <v>357243</v>
      </c>
      <c r="C315" s="32">
        <v>42864</v>
      </c>
      <c r="D315" s="20" t="s">
        <v>255</v>
      </c>
      <c r="E315" s="20">
        <v>20</v>
      </c>
      <c r="F315" s="20">
        <v>20</v>
      </c>
      <c r="G315" s="20">
        <v>23</v>
      </c>
      <c r="H315" s="20">
        <v>23</v>
      </c>
      <c r="I315" s="20">
        <v>25</v>
      </c>
      <c r="J315" s="20">
        <v>25</v>
      </c>
      <c r="K315" s="20">
        <v>25</v>
      </c>
      <c r="L315" s="20">
        <v>25</v>
      </c>
      <c r="M315" s="20">
        <v>25</v>
      </c>
      <c r="N315" s="20">
        <v>25</v>
      </c>
      <c r="O315" s="20">
        <v>25</v>
      </c>
      <c r="Q315">
        <f t="shared" si="4"/>
        <v>241</v>
      </c>
    </row>
    <row r="316" spans="1:17" x14ac:dyDescent="0.3">
      <c r="A316" s="20" t="s">
        <v>89</v>
      </c>
      <c r="B316" s="20">
        <v>357328</v>
      </c>
      <c r="C316" s="32">
        <v>42864</v>
      </c>
      <c r="D316" s="20" t="s">
        <v>255</v>
      </c>
      <c r="E316" s="20">
        <v>9</v>
      </c>
      <c r="F316" s="20">
        <v>9</v>
      </c>
      <c r="G316" s="20">
        <v>9</v>
      </c>
      <c r="H316" s="20">
        <v>14</v>
      </c>
      <c r="I316" s="20">
        <v>19</v>
      </c>
      <c r="J316" s="20">
        <v>24</v>
      </c>
      <c r="K316" s="20">
        <v>27</v>
      </c>
      <c r="L316" s="20">
        <v>27</v>
      </c>
      <c r="M316" s="20">
        <v>29</v>
      </c>
      <c r="N316" s="20">
        <v>29</v>
      </c>
      <c r="O316" s="20">
        <v>29</v>
      </c>
      <c r="Q316">
        <f t="shared" si="4"/>
        <v>216</v>
      </c>
    </row>
    <row r="317" spans="1:17" x14ac:dyDescent="0.3">
      <c r="A317" s="20" t="s">
        <v>89</v>
      </c>
      <c r="B317" s="20">
        <v>357364</v>
      </c>
      <c r="C317" s="32">
        <v>42864</v>
      </c>
      <c r="D317" s="20" t="s">
        <v>255</v>
      </c>
      <c r="E317" s="20">
        <v>21</v>
      </c>
      <c r="F317" s="20">
        <v>21</v>
      </c>
      <c r="G317" s="20">
        <v>22</v>
      </c>
      <c r="H317" s="20">
        <v>22</v>
      </c>
      <c r="I317" s="20">
        <v>22</v>
      </c>
      <c r="J317" s="20">
        <v>22</v>
      </c>
      <c r="K317" s="20">
        <v>22</v>
      </c>
      <c r="L317" s="20">
        <v>22</v>
      </c>
      <c r="M317" s="20">
        <v>22</v>
      </c>
      <c r="N317" s="20">
        <v>22</v>
      </c>
      <c r="O317" s="20">
        <v>22</v>
      </c>
      <c r="Q317">
        <f t="shared" si="4"/>
        <v>219</v>
      </c>
    </row>
    <row r="318" spans="1:17" x14ac:dyDescent="0.3">
      <c r="A318" s="20" t="s">
        <v>89</v>
      </c>
      <c r="B318" s="20">
        <v>356898</v>
      </c>
      <c r="C318" s="32">
        <v>42864</v>
      </c>
      <c r="D318" s="20" t="s">
        <v>253</v>
      </c>
      <c r="E318" s="20">
        <v>124</v>
      </c>
      <c r="F318" s="20">
        <v>124</v>
      </c>
      <c r="G318" s="20">
        <v>124</v>
      </c>
      <c r="H318" s="20">
        <v>125</v>
      </c>
      <c r="I318" s="20">
        <v>125</v>
      </c>
      <c r="J318" s="20">
        <v>125</v>
      </c>
      <c r="K318" s="20">
        <v>125</v>
      </c>
      <c r="L318" s="20">
        <v>125</v>
      </c>
      <c r="M318" s="20">
        <v>125</v>
      </c>
      <c r="N318" s="20">
        <v>125</v>
      </c>
      <c r="O318" s="20">
        <v>125</v>
      </c>
      <c r="Q318">
        <f t="shared" si="4"/>
        <v>1248</v>
      </c>
    </row>
    <row r="319" spans="1:17" x14ac:dyDescent="0.3">
      <c r="A319" s="20" t="s">
        <v>89</v>
      </c>
      <c r="B319" s="20">
        <v>356954</v>
      </c>
      <c r="C319" s="32">
        <v>42864</v>
      </c>
      <c r="D319" s="20" t="s">
        <v>263</v>
      </c>
      <c r="E319" s="20">
        <v>1</v>
      </c>
      <c r="F319" s="20">
        <v>1</v>
      </c>
      <c r="G319" s="20">
        <v>2</v>
      </c>
      <c r="H319" s="20">
        <v>2</v>
      </c>
      <c r="I319" s="20">
        <v>2</v>
      </c>
      <c r="J319" s="20">
        <v>2</v>
      </c>
      <c r="K319" s="20">
        <v>2</v>
      </c>
      <c r="L319" s="20">
        <v>2</v>
      </c>
      <c r="M319" s="20">
        <v>2</v>
      </c>
      <c r="N319" s="20">
        <v>2</v>
      </c>
      <c r="O319" s="20">
        <v>3</v>
      </c>
      <c r="Q319">
        <f t="shared" si="4"/>
        <v>20</v>
      </c>
    </row>
    <row r="320" spans="1:17" x14ac:dyDescent="0.3">
      <c r="A320" s="20" t="s">
        <v>89</v>
      </c>
      <c r="B320" s="20">
        <v>357494</v>
      </c>
      <c r="C320" s="32">
        <v>42864</v>
      </c>
      <c r="D320" s="20" t="s">
        <v>258</v>
      </c>
      <c r="E320" s="20">
        <v>3</v>
      </c>
      <c r="F320" s="20">
        <v>3</v>
      </c>
      <c r="G320" s="20">
        <v>3</v>
      </c>
      <c r="H320" s="20">
        <v>4</v>
      </c>
      <c r="I320" s="20">
        <v>5</v>
      </c>
      <c r="J320" s="20">
        <v>5</v>
      </c>
      <c r="K320" s="20">
        <v>5</v>
      </c>
      <c r="L320" s="20">
        <v>5</v>
      </c>
      <c r="M320" s="20">
        <v>5</v>
      </c>
      <c r="N320" s="20">
        <v>5</v>
      </c>
      <c r="O320" s="20">
        <v>5</v>
      </c>
      <c r="Q320">
        <f t="shared" si="4"/>
        <v>45</v>
      </c>
    </row>
    <row r="321" spans="1:17" x14ac:dyDescent="0.3">
      <c r="A321" s="20" t="s">
        <v>89</v>
      </c>
      <c r="B321" s="20">
        <v>357020</v>
      </c>
      <c r="C321" s="32">
        <v>42864</v>
      </c>
      <c r="D321" s="20" t="s">
        <v>262</v>
      </c>
      <c r="E321" s="20">
        <v>2</v>
      </c>
      <c r="F321" s="20">
        <v>2</v>
      </c>
      <c r="G321" s="20">
        <v>2</v>
      </c>
      <c r="H321" s="20">
        <v>3</v>
      </c>
      <c r="I321" s="20">
        <v>3</v>
      </c>
      <c r="J321" s="20">
        <v>3</v>
      </c>
      <c r="K321" s="20">
        <v>3</v>
      </c>
      <c r="L321" s="20">
        <v>3</v>
      </c>
      <c r="M321" s="20">
        <v>3</v>
      </c>
      <c r="N321" s="20">
        <v>3</v>
      </c>
      <c r="O321" s="20">
        <v>3</v>
      </c>
      <c r="Q321">
        <f t="shared" si="4"/>
        <v>28</v>
      </c>
    </row>
    <row r="322" spans="1:17" x14ac:dyDescent="0.3">
      <c r="A322" s="20" t="s">
        <v>89</v>
      </c>
      <c r="B322" s="20">
        <v>357114</v>
      </c>
      <c r="C322" s="32">
        <v>42864</v>
      </c>
      <c r="D322" s="20" t="s">
        <v>257</v>
      </c>
      <c r="E322" s="20">
        <v>1</v>
      </c>
      <c r="F322" s="20">
        <v>1</v>
      </c>
      <c r="G322" s="20">
        <v>2</v>
      </c>
      <c r="H322" s="20">
        <v>2</v>
      </c>
      <c r="I322" s="20">
        <v>2</v>
      </c>
      <c r="J322" s="20">
        <v>2</v>
      </c>
      <c r="K322" s="20">
        <v>2</v>
      </c>
      <c r="L322" s="20">
        <v>2</v>
      </c>
      <c r="M322" s="20">
        <v>2</v>
      </c>
      <c r="N322" s="20">
        <v>2</v>
      </c>
      <c r="O322" s="20">
        <v>2</v>
      </c>
      <c r="Q322">
        <f t="shared" si="4"/>
        <v>19</v>
      </c>
    </row>
    <row r="323" spans="1:17" x14ac:dyDescent="0.3">
      <c r="A323" s="20" t="s">
        <v>89</v>
      </c>
      <c r="B323" s="20">
        <v>355607</v>
      </c>
      <c r="C323" s="32">
        <v>42864</v>
      </c>
      <c r="D323" s="20" t="s">
        <v>255</v>
      </c>
      <c r="E323" s="20">
        <v>20</v>
      </c>
      <c r="F323" s="20">
        <v>20</v>
      </c>
      <c r="G323" s="20">
        <v>21</v>
      </c>
      <c r="H323" s="20">
        <v>21</v>
      </c>
      <c r="I323" s="20">
        <v>21</v>
      </c>
      <c r="J323" s="20">
        <v>21</v>
      </c>
      <c r="K323" s="20">
        <v>21</v>
      </c>
      <c r="L323" s="20">
        <v>21</v>
      </c>
      <c r="M323" s="20">
        <v>21</v>
      </c>
      <c r="N323" s="20">
        <v>21</v>
      </c>
      <c r="O323" s="20">
        <v>21</v>
      </c>
      <c r="Q323">
        <f t="shared" ref="Q323:Q386" si="5">SUM(F323:O323)</f>
        <v>209</v>
      </c>
    </row>
    <row r="324" spans="1:17" x14ac:dyDescent="0.3">
      <c r="A324" s="20" t="s">
        <v>89</v>
      </c>
      <c r="B324" s="20">
        <v>355091</v>
      </c>
      <c r="C324" s="32">
        <v>42864</v>
      </c>
      <c r="D324" s="20" t="s">
        <v>255</v>
      </c>
      <c r="E324" s="20">
        <v>18</v>
      </c>
      <c r="F324" s="20">
        <v>18</v>
      </c>
      <c r="G324" s="20">
        <v>20</v>
      </c>
      <c r="H324" s="20">
        <v>22</v>
      </c>
      <c r="I324" s="20">
        <v>22</v>
      </c>
      <c r="J324" s="20">
        <v>22</v>
      </c>
      <c r="K324" s="20">
        <v>22</v>
      </c>
      <c r="L324" s="20">
        <v>22</v>
      </c>
      <c r="M324" s="20">
        <v>22</v>
      </c>
      <c r="N324" s="20">
        <v>22</v>
      </c>
      <c r="O324" s="20">
        <v>22</v>
      </c>
      <c r="Q324">
        <f t="shared" si="5"/>
        <v>214</v>
      </c>
    </row>
    <row r="325" spans="1:17" x14ac:dyDescent="0.3">
      <c r="A325" s="20" t="s">
        <v>89</v>
      </c>
      <c r="B325" s="20">
        <v>355092</v>
      </c>
      <c r="C325" s="32">
        <v>42864</v>
      </c>
      <c r="D325" s="20" t="s">
        <v>253</v>
      </c>
      <c r="E325" s="20">
        <v>146</v>
      </c>
      <c r="F325" s="20">
        <v>146</v>
      </c>
      <c r="G325" s="20">
        <v>150</v>
      </c>
      <c r="H325" s="20">
        <v>154</v>
      </c>
      <c r="I325" s="20">
        <v>154</v>
      </c>
      <c r="J325" s="20">
        <v>154</v>
      </c>
      <c r="K325" s="20">
        <v>154</v>
      </c>
      <c r="L325" s="20">
        <v>154</v>
      </c>
      <c r="M325" s="20">
        <v>154</v>
      </c>
      <c r="N325" s="20">
        <v>154</v>
      </c>
      <c r="O325" s="20">
        <v>154</v>
      </c>
      <c r="Q325">
        <f t="shared" si="5"/>
        <v>1528</v>
      </c>
    </row>
    <row r="326" spans="1:17" x14ac:dyDescent="0.3">
      <c r="A326" s="20" t="s">
        <v>89</v>
      </c>
      <c r="B326" s="20">
        <v>356176</v>
      </c>
      <c r="C326" s="32">
        <v>42864</v>
      </c>
      <c r="D326" s="20" t="s">
        <v>255</v>
      </c>
      <c r="E326" s="20">
        <v>14</v>
      </c>
      <c r="F326" s="20">
        <v>14</v>
      </c>
      <c r="G326" s="20">
        <v>15</v>
      </c>
      <c r="H326" s="20">
        <v>16</v>
      </c>
      <c r="I326" s="20">
        <v>19</v>
      </c>
      <c r="J326" s="20">
        <v>22</v>
      </c>
      <c r="K326" s="20">
        <v>22</v>
      </c>
      <c r="L326" s="20">
        <v>23</v>
      </c>
      <c r="M326" s="20">
        <v>23</v>
      </c>
      <c r="N326" s="20">
        <v>23</v>
      </c>
      <c r="O326" s="20">
        <v>23</v>
      </c>
      <c r="Q326">
        <f t="shared" si="5"/>
        <v>200</v>
      </c>
    </row>
    <row r="327" spans="1:17" x14ac:dyDescent="0.3">
      <c r="A327" s="20" t="s">
        <v>89</v>
      </c>
      <c r="B327" s="20">
        <v>356732</v>
      </c>
      <c r="C327" s="32">
        <v>42864</v>
      </c>
      <c r="D327" s="20" t="s">
        <v>255</v>
      </c>
      <c r="E327" s="20">
        <v>26</v>
      </c>
      <c r="F327" s="20">
        <v>26</v>
      </c>
      <c r="G327" s="20">
        <v>27</v>
      </c>
      <c r="H327" s="20">
        <v>30</v>
      </c>
      <c r="I327" s="20">
        <v>30</v>
      </c>
      <c r="J327" s="20">
        <v>30</v>
      </c>
      <c r="K327" s="20">
        <v>30</v>
      </c>
      <c r="L327" s="20">
        <v>30</v>
      </c>
      <c r="M327" s="20">
        <v>30</v>
      </c>
      <c r="N327" s="20">
        <v>30</v>
      </c>
      <c r="O327" s="20">
        <v>30</v>
      </c>
      <c r="Q327">
        <f t="shared" si="5"/>
        <v>293</v>
      </c>
    </row>
    <row r="328" spans="1:17" x14ac:dyDescent="0.3">
      <c r="A328" s="20" t="s">
        <v>89</v>
      </c>
      <c r="B328" s="20">
        <v>355162</v>
      </c>
      <c r="C328" s="32">
        <v>42864</v>
      </c>
      <c r="D328" s="20" t="s">
        <v>255</v>
      </c>
      <c r="E328" s="20">
        <v>8</v>
      </c>
      <c r="F328" s="20">
        <v>8</v>
      </c>
      <c r="G328" s="20">
        <v>8</v>
      </c>
      <c r="H328" s="20">
        <v>12</v>
      </c>
      <c r="I328" s="20">
        <v>15</v>
      </c>
      <c r="J328" s="20">
        <v>17</v>
      </c>
      <c r="K328" s="20">
        <v>18</v>
      </c>
      <c r="L328" s="20">
        <v>18</v>
      </c>
      <c r="M328" s="20">
        <v>18</v>
      </c>
      <c r="N328" s="20">
        <v>18</v>
      </c>
      <c r="O328" s="20">
        <v>18</v>
      </c>
      <c r="Q328">
        <f t="shared" si="5"/>
        <v>150</v>
      </c>
    </row>
    <row r="329" spans="1:17" x14ac:dyDescent="0.3">
      <c r="A329" s="20" t="s">
        <v>89</v>
      </c>
      <c r="B329" s="20">
        <v>355163</v>
      </c>
      <c r="C329" s="32">
        <v>42864</v>
      </c>
      <c r="D329" s="20" t="s">
        <v>253</v>
      </c>
      <c r="E329" s="20">
        <v>130</v>
      </c>
      <c r="F329" s="20">
        <v>130</v>
      </c>
      <c r="G329" s="20">
        <v>131</v>
      </c>
      <c r="H329" s="20">
        <v>131</v>
      </c>
      <c r="I329" s="20">
        <v>131</v>
      </c>
      <c r="J329" s="20">
        <v>131</v>
      </c>
      <c r="K329" s="20">
        <v>131</v>
      </c>
      <c r="L329" s="20">
        <v>131</v>
      </c>
      <c r="M329" s="20">
        <v>131</v>
      </c>
      <c r="N329" s="20">
        <v>131</v>
      </c>
      <c r="O329" s="20">
        <v>131</v>
      </c>
      <c r="Q329">
        <f t="shared" si="5"/>
        <v>1309</v>
      </c>
    </row>
    <row r="330" spans="1:17" x14ac:dyDescent="0.3">
      <c r="A330" s="20" t="s">
        <v>89</v>
      </c>
      <c r="B330" s="20">
        <v>355746</v>
      </c>
      <c r="C330" s="32">
        <v>42864</v>
      </c>
      <c r="D330" s="20" t="s">
        <v>255</v>
      </c>
      <c r="E330" s="20">
        <v>8</v>
      </c>
      <c r="F330" s="20">
        <v>8</v>
      </c>
      <c r="G330" s="20">
        <v>11</v>
      </c>
      <c r="H330" s="20">
        <v>17</v>
      </c>
      <c r="I330" s="20">
        <v>22</v>
      </c>
      <c r="J330" s="20">
        <v>27</v>
      </c>
      <c r="K330" s="20">
        <v>27</v>
      </c>
      <c r="L330" s="20">
        <v>27</v>
      </c>
      <c r="M330" s="20">
        <v>27</v>
      </c>
      <c r="N330" s="20">
        <v>27</v>
      </c>
      <c r="O330" s="20">
        <v>27</v>
      </c>
      <c r="Q330">
        <f t="shared" si="5"/>
        <v>220</v>
      </c>
    </row>
    <row r="331" spans="1:17" x14ac:dyDescent="0.3">
      <c r="A331" s="20" t="s">
        <v>89</v>
      </c>
      <c r="B331" s="20">
        <v>356366</v>
      </c>
      <c r="C331" s="32">
        <v>42864</v>
      </c>
      <c r="D331" s="20" t="s">
        <v>255</v>
      </c>
      <c r="E331" s="20">
        <v>18</v>
      </c>
      <c r="F331" s="20">
        <v>18</v>
      </c>
      <c r="G331" s="20">
        <v>20</v>
      </c>
      <c r="H331" s="20">
        <v>23</v>
      </c>
      <c r="I331" s="20">
        <v>24</v>
      </c>
      <c r="J331" s="20">
        <v>24</v>
      </c>
      <c r="K331" s="20">
        <v>24</v>
      </c>
      <c r="L331" s="20">
        <v>24</v>
      </c>
      <c r="M331" s="20">
        <v>24</v>
      </c>
      <c r="N331" s="20">
        <v>24</v>
      </c>
      <c r="O331" s="20">
        <v>24</v>
      </c>
      <c r="Q331">
        <f t="shared" si="5"/>
        <v>229</v>
      </c>
    </row>
    <row r="332" spans="1:17" x14ac:dyDescent="0.3">
      <c r="A332" s="20" t="s">
        <v>89</v>
      </c>
      <c r="B332" s="20">
        <v>355316</v>
      </c>
      <c r="C332" s="32">
        <v>42864</v>
      </c>
      <c r="D332" s="20" t="s">
        <v>255</v>
      </c>
      <c r="E332" s="20">
        <v>1</v>
      </c>
      <c r="F332" s="20">
        <v>1</v>
      </c>
      <c r="G332" s="20">
        <v>1</v>
      </c>
      <c r="H332" s="20">
        <v>5</v>
      </c>
      <c r="I332" s="20">
        <v>7</v>
      </c>
      <c r="J332" s="20">
        <v>10</v>
      </c>
      <c r="K332" s="20">
        <v>14</v>
      </c>
      <c r="L332" s="20">
        <v>18</v>
      </c>
      <c r="M332" s="20">
        <v>21</v>
      </c>
      <c r="N332" s="20">
        <v>25</v>
      </c>
      <c r="O332" s="20">
        <v>27</v>
      </c>
      <c r="Q332">
        <f t="shared" si="5"/>
        <v>129</v>
      </c>
    </row>
    <row r="333" spans="1:17" x14ac:dyDescent="0.3">
      <c r="A333" s="20" t="s">
        <v>89</v>
      </c>
      <c r="B333" s="20">
        <v>355322</v>
      </c>
      <c r="C333" s="32">
        <v>42864</v>
      </c>
      <c r="D333" s="20" t="s">
        <v>258</v>
      </c>
      <c r="E333" s="20">
        <v>1</v>
      </c>
      <c r="F333" s="20">
        <v>1</v>
      </c>
      <c r="G333" s="20">
        <v>1</v>
      </c>
      <c r="H333" s="20">
        <v>2</v>
      </c>
      <c r="I333" s="20">
        <v>2</v>
      </c>
      <c r="J333" s="20">
        <v>2</v>
      </c>
      <c r="K333" s="20">
        <v>2</v>
      </c>
      <c r="L333" s="20">
        <v>2</v>
      </c>
      <c r="M333" s="20">
        <v>2</v>
      </c>
      <c r="N333" s="20">
        <v>2</v>
      </c>
      <c r="O333" s="20">
        <v>2</v>
      </c>
      <c r="Q333">
        <f t="shared" si="5"/>
        <v>18</v>
      </c>
    </row>
    <row r="334" spans="1:17" x14ac:dyDescent="0.3">
      <c r="A334" s="20" t="s">
        <v>89</v>
      </c>
      <c r="B334" s="20">
        <v>355920</v>
      </c>
      <c r="C334" s="32">
        <v>42864</v>
      </c>
      <c r="D334" s="20" t="s">
        <v>255</v>
      </c>
      <c r="E334" s="20">
        <v>32</v>
      </c>
      <c r="F334" s="20">
        <v>32</v>
      </c>
      <c r="G334" s="20">
        <v>34</v>
      </c>
      <c r="H334" s="20">
        <v>35</v>
      </c>
      <c r="I334" s="20">
        <v>35</v>
      </c>
      <c r="J334" s="20">
        <v>35</v>
      </c>
      <c r="K334" s="20">
        <v>35</v>
      </c>
      <c r="L334" s="20">
        <v>35</v>
      </c>
      <c r="M334" s="20">
        <v>35</v>
      </c>
      <c r="N334" s="20">
        <v>35</v>
      </c>
      <c r="O334" s="20">
        <v>35</v>
      </c>
      <c r="Q334">
        <f t="shared" si="5"/>
        <v>346</v>
      </c>
    </row>
    <row r="335" spans="1:17" x14ac:dyDescent="0.3">
      <c r="A335" s="20" t="s">
        <v>89</v>
      </c>
      <c r="B335" s="20">
        <v>355004</v>
      </c>
      <c r="C335" s="32">
        <v>42864</v>
      </c>
      <c r="D335" s="20" t="s">
        <v>253</v>
      </c>
      <c r="E335" s="20">
        <v>8</v>
      </c>
      <c r="F335" s="20">
        <v>8</v>
      </c>
      <c r="G335" s="20">
        <v>24</v>
      </c>
      <c r="H335" s="20">
        <v>37</v>
      </c>
      <c r="I335" s="20">
        <v>49</v>
      </c>
      <c r="J335" s="20">
        <v>112</v>
      </c>
      <c r="K335" s="20">
        <v>137</v>
      </c>
      <c r="L335" s="20">
        <v>137</v>
      </c>
      <c r="M335" s="20">
        <v>137</v>
      </c>
      <c r="N335" s="20">
        <v>137</v>
      </c>
      <c r="O335" s="20">
        <v>137</v>
      </c>
      <c r="Q335">
        <f t="shared" si="5"/>
        <v>915</v>
      </c>
    </row>
    <row r="336" spans="1:17" x14ac:dyDescent="0.3">
      <c r="A336" s="20" t="s">
        <v>89</v>
      </c>
      <c r="B336" s="20">
        <v>355005</v>
      </c>
      <c r="C336" s="32">
        <v>42864</v>
      </c>
      <c r="D336" s="20" t="s">
        <v>255</v>
      </c>
      <c r="E336" s="20">
        <v>7</v>
      </c>
      <c r="F336" s="20">
        <v>7</v>
      </c>
      <c r="G336" s="20">
        <v>9</v>
      </c>
      <c r="H336" s="20">
        <v>13</v>
      </c>
      <c r="I336" s="20">
        <v>15</v>
      </c>
      <c r="J336" s="20">
        <v>19</v>
      </c>
      <c r="K336" s="20">
        <v>22</v>
      </c>
      <c r="L336" s="20">
        <v>27</v>
      </c>
      <c r="M336" s="20">
        <v>29</v>
      </c>
      <c r="N336" s="20">
        <v>29</v>
      </c>
      <c r="O336" s="20">
        <v>29</v>
      </c>
      <c r="Q336">
        <f t="shared" si="5"/>
        <v>199</v>
      </c>
    </row>
    <row r="337" spans="1:17" x14ac:dyDescent="0.3">
      <c r="A337" s="20" t="s">
        <v>89</v>
      </c>
      <c r="B337" s="20">
        <v>356112</v>
      </c>
      <c r="C337" s="32">
        <v>42864</v>
      </c>
      <c r="D337" s="20" t="s">
        <v>253</v>
      </c>
      <c r="E337" s="20">
        <v>108</v>
      </c>
      <c r="F337" s="20">
        <v>108</v>
      </c>
      <c r="G337" s="20">
        <v>113</v>
      </c>
      <c r="H337" s="20">
        <v>138</v>
      </c>
      <c r="I337" s="20">
        <v>140</v>
      </c>
      <c r="J337" s="20">
        <v>140</v>
      </c>
      <c r="K337" s="20">
        <v>140</v>
      </c>
      <c r="L337" s="20">
        <v>140</v>
      </c>
      <c r="M337" s="20">
        <v>140</v>
      </c>
      <c r="N337" s="20">
        <v>140</v>
      </c>
      <c r="O337" s="20">
        <v>140</v>
      </c>
      <c r="Q337">
        <f t="shared" si="5"/>
        <v>1339</v>
      </c>
    </row>
    <row r="338" spans="1:17" x14ac:dyDescent="0.3">
      <c r="A338" s="20" t="s">
        <v>89</v>
      </c>
      <c r="B338" s="20">
        <v>356113</v>
      </c>
      <c r="C338" s="32">
        <v>42864</v>
      </c>
      <c r="D338" s="20" t="s">
        <v>255</v>
      </c>
      <c r="E338" s="20">
        <v>4</v>
      </c>
      <c r="F338" s="20">
        <v>4</v>
      </c>
      <c r="G338" s="20">
        <v>6</v>
      </c>
      <c r="H338" s="20">
        <v>10</v>
      </c>
      <c r="I338" s="20">
        <v>11</v>
      </c>
      <c r="J338" s="20">
        <v>12</v>
      </c>
      <c r="K338" s="20">
        <v>15</v>
      </c>
      <c r="L338" s="20">
        <v>20</v>
      </c>
      <c r="M338" s="20">
        <v>24</v>
      </c>
      <c r="N338" s="20">
        <v>24</v>
      </c>
      <c r="O338" s="20">
        <v>24</v>
      </c>
      <c r="Q338">
        <f t="shared" si="5"/>
        <v>150</v>
      </c>
    </row>
    <row r="339" spans="1:17" x14ac:dyDescent="0.3">
      <c r="A339" s="20" t="s">
        <v>89</v>
      </c>
      <c r="B339" s="20">
        <v>349192</v>
      </c>
      <c r="C339" s="32">
        <v>42864</v>
      </c>
      <c r="D339" s="20" t="s">
        <v>255</v>
      </c>
      <c r="E339" s="20">
        <v>13</v>
      </c>
      <c r="F339" s="20">
        <v>13</v>
      </c>
      <c r="G339" s="20">
        <v>13</v>
      </c>
      <c r="H339" s="20">
        <v>15</v>
      </c>
      <c r="I339" s="20">
        <v>15</v>
      </c>
      <c r="J339" s="20">
        <v>15</v>
      </c>
      <c r="K339" s="20">
        <v>15</v>
      </c>
      <c r="L339" s="20">
        <v>15</v>
      </c>
      <c r="M339" s="20">
        <v>15</v>
      </c>
      <c r="N339" s="20">
        <v>15</v>
      </c>
      <c r="O339" s="20">
        <v>15</v>
      </c>
      <c r="Q339">
        <f t="shared" si="5"/>
        <v>146</v>
      </c>
    </row>
    <row r="340" spans="1:17" x14ac:dyDescent="0.3">
      <c r="A340" s="20" t="s">
        <v>89</v>
      </c>
      <c r="B340" s="20">
        <v>349545</v>
      </c>
      <c r="C340" s="32">
        <v>42864</v>
      </c>
      <c r="D340" s="20" t="s">
        <v>255</v>
      </c>
      <c r="E340" s="20">
        <v>16</v>
      </c>
      <c r="F340" s="20">
        <v>16</v>
      </c>
      <c r="G340" s="20">
        <v>17</v>
      </c>
      <c r="H340" s="20">
        <v>19</v>
      </c>
      <c r="I340" s="20">
        <v>19</v>
      </c>
      <c r="J340" s="20">
        <v>19</v>
      </c>
      <c r="K340" s="20">
        <v>19</v>
      </c>
      <c r="L340" s="20">
        <v>19</v>
      </c>
      <c r="M340" s="20">
        <v>19</v>
      </c>
      <c r="N340" s="20">
        <v>19</v>
      </c>
      <c r="O340" s="20">
        <v>19</v>
      </c>
      <c r="Q340">
        <f t="shared" si="5"/>
        <v>185</v>
      </c>
    </row>
    <row r="341" spans="1:17" x14ac:dyDescent="0.3">
      <c r="A341" s="20" t="s">
        <v>89</v>
      </c>
      <c r="B341" s="20">
        <v>349546</v>
      </c>
      <c r="C341" s="32">
        <v>42864</v>
      </c>
      <c r="D341" s="20" t="s">
        <v>253</v>
      </c>
      <c r="E341" s="20">
        <v>121</v>
      </c>
      <c r="F341" s="20">
        <v>121</v>
      </c>
      <c r="G341" s="20">
        <v>129</v>
      </c>
      <c r="H341" s="20">
        <v>134</v>
      </c>
      <c r="I341" s="20">
        <v>134</v>
      </c>
      <c r="J341" s="20">
        <v>134</v>
      </c>
      <c r="K341" s="20">
        <v>134</v>
      </c>
      <c r="L341" s="20">
        <v>134</v>
      </c>
      <c r="M341" s="20">
        <v>134</v>
      </c>
      <c r="N341" s="20">
        <v>134</v>
      </c>
      <c r="O341" s="20">
        <v>134</v>
      </c>
      <c r="Q341">
        <f t="shared" si="5"/>
        <v>1322</v>
      </c>
    </row>
    <row r="342" spans="1:17" x14ac:dyDescent="0.3">
      <c r="A342" s="20" t="s">
        <v>89</v>
      </c>
      <c r="B342" s="20">
        <v>350263</v>
      </c>
      <c r="C342" s="32">
        <v>42864</v>
      </c>
      <c r="D342" s="20" t="s">
        <v>253</v>
      </c>
      <c r="E342" s="20">
        <v>115</v>
      </c>
      <c r="F342" s="20">
        <v>115</v>
      </c>
      <c r="G342" s="20">
        <v>117</v>
      </c>
      <c r="H342" s="20">
        <v>129</v>
      </c>
      <c r="I342" s="20">
        <v>138</v>
      </c>
      <c r="J342" s="20">
        <v>138</v>
      </c>
      <c r="K342" s="20">
        <v>138</v>
      </c>
      <c r="L342" s="20">
        <v>138</v>
      </c>
      <c r="M342" s="20">
        <v>138</v>
      </c>
      <c r="N342" s="20">
        <v>138</v>
      </c>
      <c r="O342" s="20">
        <v>138</v>
      </c>
      <c r="Q342">
        <f t="shared" si="5"/>
        <v>1327</v>
      </c>
    </row>
    <row r="343" spans="1:17" x14ac:dyDescent="0.3">
      <c r="A343" s="20" t="s">
        <v>89</v>
      </c>
      <c r="B343" s="20">
        <v>350264</v>
      </c>
      <c r="C343" s="32">
        <v>42864</v>
      </c>
      <c r="D343" s="20" t="s">
        <v>255</v>
      </c>
      <c r="E343" s="20">
        <v>14</v>
      </c>
      <c r="F343" s="20">
        <v>14</v>
      </c>
      <c r="G343" s="20">
        <v>14</v>
      </c>
      <c r="H343" s="20">
        <v>15</v>
      </c>
      <c r="I343" s="20">
        <v>21</v>
      </c>
      <c r="J343" s="20">
        <v>28</v>
      </c>
      <c r="K343" s="20">
        <v>28</v>
      </c>
      <c r="L343" s="20">
        <v>28</v>
      </c>
      <c r="M343" s="20">
        <v>28</v>
      </c>
      <c r="N343" s="20">
        <v>28</v>
      </c>
      <c r="O343" s="20">
        <v>28</v>
      </c>
      <c r="Q343">
        <f t="shared" si="5"/>
        <v>232</v>
      </c>
    </row>
    <row r="344" spans="1:17" x14ac:dyDescent="0.3">
      <c r="A344" s="20" t="s">
        <v>89</v>
      </c>
      <c r="B344" s="20">
        <v>348424</v>
      </c>
      <c r="C344" s="32">
        <v>42864</v>
      </c>
      <c r="D344" s="20" t="s">
        <v>255</v>
      </c>
      <c r="E344" s="20">
        <v>22</v>
      </c>
      <c r="F344" s="20">
        <v>22</v>
      </c>
      <c r="G344" s="20">
        <v>23</v>
      </c>
      <c r="H344" s="20">
        <v>25</v>
      </c>
      <c r="I344" s="20">
        <v>25</v>
      </c>
      <c r="J344" s="20">
        <v>25</v>
      </c>
      <c r="K344" s="20">
        <v>25</v>
      </c>
      <c r="L344" s="20">
        <v>25</v>
      </c>
      <c r="M344" s="20">
        <v>25</v>
      </c>
      <c r="N344" s="20">
        <v>25</v>
      </c>
      <c r="O344" s="20">
        <v>25</v>
      </c>
      <c r="Q344">
        <f t="shared" si="5"/>
        <v>245</v>
      </c>
    </row>
    <row r="345" spans="1:17" x14ac:dyDescent="0.3">
      <c r="A345" s="20" t="s">
        <v>89</v>
      </c>
      <c r="B345" s="20">
        <v>348426</v>
      </c>
      <c r="C345" s="32">
        <v>42864</v>
      </c>
      <c r="D345" s="20" t="s">
        <v>256</v>
      </c>
      <c r="E345" s="20">
        <v>5</v>
      </c>
      <c r="F345" s="20">
        <v>5</v>
      </c>
      <c r="G345" s="20">
        <v>5</v>
      </c>
      <c r="H345" s="20">
        <v>6</v>
      </c>
      <c r="I345" s="20">
        <v>6</v>
      </c>
      <c r="J345" s="20">
        <v>6</v>
      </c>
      <c r="K345" s="20">
        <v>6</v>
      </c>
      <c r="L345" s="20">
        <v>6</v>
      </c>
      <c r="M345" s="20">
        <v>6</v>
      </c>
      <c r="N345" s="20">
        <v>6</v>
      </c>
      <c r="O345" s="20">
        <v>6</v>
      </c>
      <c r="Q345">
        <f t="shared" si="5"/>
        <v>58</v>
      </c>
    </row>
    <row r="346" spans="1:17" x14ac:dyDescent="0.3">
      <c r="A346" s="20" t="s">
        <v>89</v>
      </c>
      <c r="B346" s="20">
        <v>349383</v>
      </c>
      <c r="C346" s="32">
        <v>42864</v>
      </c>
      <c r="D346" s="20" t="s">
        <v>255</v>
      </c>
      <c r="E346" s="20">
        <v>28</v>
      </c>
      <c r="F346" s="20">
        <v>28</v>
      </c>
      <c r="G346" s="20">
        <v>30</v>
      </c>
      <c r="H346" s="20">
        <v>33</v>
      </c>
      <c r="I346" s="20">
        <v>35</v>
      </c>
      <c r="J346" s="20">
        <v>35</v>
      </c>
      <c r="K346" s="20">
        <v>35</v>
      </c>
      <c r="L346" s="20">
        <v>35</v>
      </c>
      <c r="M346" s="20">
        <v>35</v>
      </c>
      <c r="N346" s="20">
        <v>35</v>
      </c>
      <c r="O346" s="20">
        <v>35</v>
      </c>
      <c r="Q346">
        <f t="shared" si="5"/>
        <v>336</v>
      </c>
    </row>
    <row r="347" spans="1:17" x14ac:dyDescent="0.3">
      <c r="A347" s="20" t="s">
        <v>89</v>
      </c>
      <c r="B347" s="20">
        <v>349384</v>
      </c>
      <c r="C347" s="32">
        <v>42864</v>
      </c>
      <c r="D347" s="20" t="s">
        <v>253</v>
      </c>
      <c r="E347" s="20">
        <v>109</v>
      </c>
      <c r="F347" s="20">
        <v>109</v>
      </c>
      <c r="G347" s="20">
        <v>115</v>
      </c>
      <c r="H347" s="20">
        <v>121</v>
      </c>
      <c r="I347" s="20">
        <v>121</v>
      </c>
      <c r="J347" s="20">
        <v>121</v>
      </c>
      <c r="K347" s="20">
        <v>121</v>
      </c>
      <c r="L347" s="20">
        <v>121</v>
      </c>
      <c r="M347" s="20">
        <v>121</v>
      </c>
      <c r="N347" s="20">
        <v>121</v>
      </c>
      <c r="O347" s="20">
        <v>121</v>
      </c>
      <c r="Q347">
        <f t="shared" si="5"/>
        <v>1192</v>
      </c>
    </row>
    <row r="348" spans="1:17" x14ac:dyDescent="0.3">
      <c r="A348" s="20" t="s">
        <v>89</v>
      </c>
      <c r="B348" s="20">
        <v>348685</v>
      </c>
      <c r="C348" s="32">
        <v>42864</v>
      </c>
      <c r="D348" s="20" t="s">
        <v>253</v>
      </c>
      <c r="E348" s="20">
        <v>48</v>
      </c>
      <c r="F348" s="20">
        <v>48</v>
      </c>
      <c r="G348" s="20">
        <v>82</v>
      </c>
      <c r="H348" s="20">
        <v>141</v>
      </c>
      <c r="I348" s="20">
        <v>147</v>
      </c>
      <c r="J348" s="20">
        <v>147</v>
      </c>
      <c r="K348" s="20">
        <v>147</v>
      </c>
      <c r="L348" s="20">
        <v>147</v>
      </c>
      <c r="M348" s="20">
        <v>147</v>
      </c>
      <c r="N348" s="20">
        <v>147</v>
      </c>
      <c r="O348" s="20">
        <v>147</v>
      </c>
      <c r="Q348">
        <f t="shared" si="5"/>
        <v>1300</v>
      </c>
    </row>
    <row r="349" spans="1:17" x14ac:dyDescent="0.3">
      <c r="A349" s="20" t="s">
        <v>89</v>
      </c>
      <c r="B349" s="20">
        <v>340970</v>
      </c>
      <c r="C349" s="32">
        <v>42863</v>
      </c>
      <c r="D349" s="20" t="s">
        <v>253</v>
      </c>
      <c r="E349" s="20">
        <v>84</v>
      </c>
      <c r="F349" s="20">
        <v>84</v>
      </c>
      <c r="G349" s="20">
        <v>97</v>
      </c>
      <c r="H349" s="20">
        <v>124</v>
      </c>
      <c r="I349" s="20">
        <v>137</v>
      </c>
      <c r="J349" s="20">
        <v>138</v>
      </c>
      <c r="K349" s="20">
        <v>138</v>
      </c>
      <c r="L349" s="20">
        <v>138</v>
      </c>
      <c r="M349" s="20">
        <v>138</v>
      </c>
      <c r="N349" s="20">
        <v>138</v>
      </c>
      <c r="O349" s="20">
        <v>138</v>
      </c>
      <c r="Q349">
        <f t="shared" si="5"/>
        <v>1270</v>
      </c>
    </row>
    <row r="350" spans="1:17" x14ac:dyDescent="0.3">
      <c r="A350" s="20" t="s">
        <v>89</v>
      </c>
      <c r="B350" s="20">
        <v>340971</v>
      </c>
      <c r="C350" s="32">
        <v>42863</v>
      </c>
      <c r="D350" s="20" t="s">
        <v>255</v>
      </c>
      <c r="E350" s="20">
        <v>7</v>
      </c>
      <c r="F350" s="20">
        <v>7</v>
      </c>
      <c r="G350" s="20">
        <v>12</v>
      </c>
      <c r="H350" s="20">
        <v>19</v>
      </c>
      <c r="I350" s="20">
        <v>19</v>
      </c>
      <c r="J350" s="20">
        <v>19</v>
      </c>
      <c r="K350" s="20">
        <v>19</v>
      </c>
      <c r="L350" s="20">
        <v>19</v>
      </c>
      <c r="M350" s="20">
        <v>19</v>
      </c>
      <c r="N350" s="20">
        <v>19</v>
      </c>
      <c r="O350" s="20">
        <v>19</v>
      </c>
      <c r="Q350">
        <f t="shared" si="5"/>
        <v>171</v>
      </c>
    </row>
    <row r="351" spans="1:17" x14ac:dyDescent="0.3">
      <c r="A351" s="20" t="s">
        <v>89</v>
      </c>
      <c r="B351" s="20">
        <v>340978</v>
      </c>
      <c r="C351" s="32">
        <v>42863</v>
      </c>
      <c r="D351" s="20" t="s">
        <v>258</v>
      </c>
      <c r="E351" s="20">
        <v>3</v>
      </c>
      <c r="F351" s="20">
        <v>4</v>
      </c>
      <c r="G351" s="20">
        <v>5</v>
      </c>
      <c r="H351" s="20">
        <v>6</v>
      </c>
      <c r="I351" s="20">
        <v>6</v>
      </c>
      <c r="J351" s="20">
        <v>6</v>
      </c>
      <c r="K351" s="20">
        <v>6</v>
      </c>
      <c r="L351" s="20">
        <v>6</v>
      </c>
      <c r="M351" s="20">
        <v>6</v>
      </c>
      <c r="N351" s="20">
        <v>6</v>
      </c>
      <c r="O351" s="20">
        <v>6</v>
      </c>
      <c r="Q351">
        <f t="shared" si="5"/>
        <v>57</v>
      </c>
    </row>
    <row r="352" spans="1:17" x14ac:dyDescent="0.3">
      <c r="A352" s="20" t="s">
        <v>89</v>
      </c>
      <c r="B352" s="20">
        <v>341946</v>
      </c>
      <c r="C352" s="32">
        <v>42863</v>
      </c>
      <c r="D352" s="20" t="s">
        <v>255</v>
      </c>
      <c r="E352" s="20">
        <v>14</v>
      </c>
      <c r="F352" s="20">
        <v>14</v>
      </c>
      <c r="G352" s="20">
        <v>16</v>
      </c>
      <c r="H352" s="20">
        <v>18</v>
      </c>
      <c r="I352" s="20">
        <v>22</v>
      </c>
      <c r="J352" s="20">
        <v>23</v>
      </c>
      <c r="K352" s="20">
        <v>23</v>
      </c>
      <c r="L352" s="20">
        <v>23</v>
      </c>
      <c r="M352" s="20">
        <v>23</v>
      </c>
      <c r="N352" s="20">
        <v>23</v>
      </c>
      <c r="O352" s="20">
        <v>23</v>
      </c>
      <c r="Q352">
        <f t="shared" si="5"/>
        <v>208</v>
      </c>
    </row>
    <row r="353" spans="1:17" x14ac:dyDescent="0.3">
      <c r="A353" s="20" t="s">
        <v>89</v>
      </c>
      <c r="B353" s="20">
        <v>341948</v>
      </c>
      <c r="C353" s="32">
        <v>42863</v>
      </c>
      <c r="D353" s="20" t="s">
        <v>257</v>
      </c>
      <c r="E353" s="20">
        <v>4</v>
      </c>
      <c r="F353" s="20">
        <v>5</v>
      </c>
      <c r="G353" s="20">
        <v>5</v>
      </c>
      <c r="H353" s="20">
        <v>5</v>
      </c>
      <c r="I353" s="20">
        <v>5</v>
      </c>
      <c r="J353" s="20">
        <v>5</v>
      </c>
      <c r="K353" s="20">
        <v>5</v>
      </c>
      <c r="L353" s="20">
        <v>5</v>
      </c>
      <c r="M353" s="20">
        <v>5</v>
      </c>
      <c r="N353" s="20">
        <v>5</v>
      </c>
      <c r="O353" s="20">
        <v>5</v>
      </c>
      <c r="Q353">
        <f t="shared" si="5"/>
        <v>50</v>
      </c>
    </row>
    <row r="354" spans="1:17" x14ac:dyDescent="0.3">
      <c r="A354" s="20" t="s">
        <v>89</v>
      </c>
      <c r="B354" s="20">
        <v>340266</v>
      </c>
      <c r="C354" s="32">
        <v>42863</v>
      </c>
      <c r="D354" s="20" t="s">
        <v>253</v>
      </c>
      <c r="E354" s="20">
        <v>56</v>
      </c>
      <c r="F354" s="20">
        <v>56</v>
      </c>
      <c r="G354" s="20">
        <v>73</v>
      </c>
      <c r="H354" s="20">
        <v>113</v>
      </c>
      <c r="I354" s="20">
        <v>157</v>
      </c>
      <c r="J354" s="20">
        <v>169</v>
      </c>
      <c r="K354" s="20">
        <v>171</v>
      </c>
      <c r="L354" s="20">
        <v>171</v>
      </c>
      <c r="M354" s="20">
        <v>171</v>
      </c>
      <c r="N354" s="20">
        <v>171</v>
      </c>
      <c r="O354" s="20">
        <v>171</v>
      </c>
      <c r="Q354">
        <f t="shared" si="5"/>
        <v>1423</v>
      </c>
    </row>
    <row r="355" spans="1:17" x14ac:dyDescent="0.3">
      <c r="A355" s="20" t="s">
        <v>89</v>
      </c>
      <c r="B355" s="20">
        <v>340267</v>
      </c>
      <c r="C355" s="32">
        <v>42863</v>
      </c>
      <c r="D355" s="20" t="s">
        <v>255</v>
      </c>
      <c r="E355" s="20">
        <v>9</v>
      </c>
      <c r="F355" s="20">
        <v>9</v>
      </c>
      <c r="G355" s="20">
        <v>10</v>
      </c>
      <c r="H355" s="20">
        <v>11</v>
      </c>
      <c r="I355" s="20">
        <v>13</v>
      </c>
      <c r="J355" s="20">
        <v>13</v>
      </c>
      <c r="K355" s="20">
        <v>13</v>
      </c>
      <c r="L355" s="20">
        <v>13</v>
      </c>
      <c r="M355" s="20">
        <v>13</v>
      </c>
      <c r="N355" s="20">
        <v>13</v>
      </c>
      <c r="O355" s="20">
        <v>13</v>
      </c>
      <c r="Q355">
        <f t="shared" si="5"/>
        <v>121</v>
      </c>
    </row>
    <row r="356" spans="1:17" x14ac:dyDescent="0.3">
      <c r="A356" s="20" t="s">
        <v>89</v>
      </c>
      <c r="B356" s="20">
        <v>340279</v>
      </c>
      <c r="C356" s="32">
        <v>42863</v>
      </c>
      <c r="D356" s="20" t="s">
        <v>255</v>
      </c>
      <c r="E356" s="20">
        <v>8</v>
      </c>
      <c r="F356" s="20">
        <v>8</v>
      </c>
      <c r="G356" s="20">
        <v>12</v>
      </c>
      <c r="H356" s="20">
        <v>21</v>
      </c>
      <c r="I356" s="20">
        <v>25</v>
      </c>
      <c r="J356" s="20">
        <v>30</v>
      </c>
      <c r="K356" s="20">
        <v>33</v>
      </c>
      <c r="L356" s="20">
        <v>33</v>
      </c>
      <c r="M356" s="20">
        <v>33</v>
      </c>
      <c r="N356" s="20">
        <v>33</v>
      </c>
      <c r="O356" s="20">
        <v>33</v>
      </c>
      <c r="Q356">
        <f t="shared" si="5"/>
        <v>261</v>
      </c>
    </row>
    <row r="357" spans="1:17" x14ac:dyDescent="0.3">
      <c r="A357" s="20" t="s">
        <v>89</v>
      </c>
      <c r="B357" s="20">
        <v>340368</v>
      </c>
      <c r="C357" s="32">
        <v>42863</v>
      </c>
      <c r="D357" s="20" t="s">
        <v>258</v>
      </c>
      <c r="E357" s="20">
        <v>3</v>
      </c>
      <c r="F357" s="20">
        <v>3</v>
      </c>
      <c r="G357" s="20">
        <v>3</v>
      </c>
      <c r="H357" s="20">
        <v>5</v>
      </c>
      <c r="I357" s="20">
        <v>6</v>
      </c>
      <c r="J357" s="20">
        <v>7</v>
      </c>
      <c r="K357" s="20">
        <v>7</v>
      </c>
      <c r="L357" s="20">
        <v>7</v>
      </c>
      <c r="M357" s="20">
        <v>7</v>
      </c>
      <c r="N357" s="20">
        <v>7</v>
      </c>
      <c r="O357" s="20">
        <v>7</v>
      </c>
      <c r="Q357">
        <f t="shared" si="5"/>
        <v>59</v>
      </c>
    </row>
    <row r="358" spans="1:17" x14ac:dyDescent="0.3">
      <c r="A358" s="20" t="s">
        <v>89</v>
      </c>
      <c r="B358" s="20">
        <v>341149</v>
      </c>
      <c r="C358" s="32">
        <v>42863</v>
      </c>
      <c r="D358" s="20" t="s">
        <v>253</v>
      </c>
      <c r="E358" s="20">
        <v>104</v>
      </c>
      <c r="F358" s="20">
        <v>104</v>
      </c>
      <c r="G358" s="20">
        <v>104</v>
      </c>
      <c r="H358" s="20">
        <v>105</v>
      </c>
      <c r="I358" s="20">
        <v>105</v>
      </c>
      <c r="J358" s="20">
        <v>105</v>
      </c>
      <c r="K358" s="20">
        <v>105</v>
      </c>
      <c r="L358" s="20">
        <v>105</v>
      </c>
      <c r="M358" s="20">
        <v>105</v>
      </c>
      <c r="N358" s="20">
        <v>105</v>
      </c>
      <c r="O358" s="20">
        <v>105</v>
      </c>
      <c r="Q358">
        <f t="shared" si="5"/>
        <v>1048</v>
      </c>
    </row>
    <row r="359" spans="1:17" x14ac:dyDescent="0.3">
      <c r="A359" s="20" t="s">
        <v>89</v>
      </c>
      <c r="B359" s="20">
        <v>341150</v>
      </c>
      <c r="C359" s="32">
        <v>42863</v>
      </c>
      <c r="D359" s="20" t="s">
        <v>255</v>
      </c>
      <c r="E359" s="20">
        <v>7</v>
      </c>
      <c r="F359" s="20">
        <v>7</v>
      </c>
      <c r="G359" s="20">
        <v>8</v>
      </c>
      <c r="H359" s="20">
        <v>14</v>
      </c>
      <c r="I359" s="20">
        <v>20</v>
      </c>
      <c r="J359" s="20">
        <v>27</v>
      </c>
      <c r="K359" s="20">
        <v>29</v>
      </c>
      <c r="L359" s="20">
        <v>30</v>
      </c>
      <c r="M359" s="20">
        <v>30</v>
      </c>
      <c r="N359" s="20">
        <v>30</v>
      </c>
      <c r="O359" s="20">
        <v>30</v>
      </c>
      <c r="Q359">
        <f t="shared" si="5"/>
        <v>225</v>
      </c>
    </row>
    <row r="360" spans="1:17" x14ac:dyDescent="0.3">
      <c r="A360" s="20" t="s">
        <v>89</v>
      </c>
      <c r="B360" s="20">
        <v>341166</v>
      </c>
      <c r="C360" s="32">
        <v>42863</v>
      </c>
      <c r="D360" s="20" t="s">
        <v>253</v>
      </c>
      <c r="E360" s="20">
        <v>117</v>
      </c>
      <c r="F360" s="20">
        <v>117</v>
      </c>
      <c r="G360" s="20">
        <v>119</v>
      </c>
      <c r="H360" s="20">
        <v>119</v>
      </c>
      <c r="I360" s="20">
        <v>119</v>
      </c>
      <c r="J360" s="20">
        <v>119</v>
      </c>
      <c r="K360" s="20">
        <v>119</v>
      </c>
      <c r="L360" s="20">
        <v>119</v>
      </c>
      <c r="M360" s="20">
        <v>119</v>
      </c>
      <c r="N360" s="20">
        <v>119</v>
      </c>
      <c r="O360" s="20">
        <v>119</v>
      </c>
      <c r="Q360">
        <f t="shared" si="5"/>
        <v>1188</v>
      </c>
    </row>
    <row r="361" spans="1:17" x14ac:dyDescent="0.3">
      <c r="A361" s="20" t="s">
        <v>89</v>
      </c>
      <c r="B361" s="20">
        <v>341167</v>
      </c>
      <c r="C361" s="32">
        <v>42863</v>
      </c>
      <c r="D361" s="20" t="s">
        <v>255</v>
      </c>
      <c r="E361" s="20">
        <v>7</v>
      </c>
      <c r="F361" s="20">
        <v>7</v>
      </c>
      <c r="G361" s="20">
        <v>10</v>
      </c>
      <c r="H361" s="20">
        <v>14</v>
      </c>
      <c r="I361" s="20">
        <v>17</v>
      </c>
      <c r="J361" s="20">
        <v>21</v>
      </c>
      <c r="K361" s="20">
        <v>23</v>
      </c>
      <c r="L361" s="20">
        <v>31</v>
      </c>
      <c r="M361" s="20">
        <v>31</v>
      </c>
      <c r="N361" s="20">
        <v>31</v>
      </c>
      <c r="O361" s="20">
        <v>31</v>
      </c>
      <c r="Q361">
        <f t="shared" si="5"/>
        <v>216</v>
      </c>
    </row>
    <row r="362" spans="1:17" x14ac:dyDescent="0.3">
      <c r="A362" s="20" t="s">
        <v>89</v>
      </c>
      <c r="B362" s="20">
        <v>340653</v>
      </c>
      <c r="C362" s="32">
        <v>42863</v>
      </c>
      <c r="D362" s="20" t="s">
        <v>255</v>
      </c>
      <c r="E362" s="20">
        <v>8</v>
      </c>
      <c r="F362" s="20">
        <v>8</v>
      </c>
      <c r="G362" s="20">
        <v>15</v>
      </c>
      <c r="H362" s="20">
        <v>27</v>
      </c>
      <c r="I362" s="20">
        <v>28</v>
      </c>
      <c r="J362" s="20">
        <v>28</v>
      </c>
      <c r="K362" s="20">
        <v>28</v>
      </c>
      <c r="L362" s="20">
        <v>28</v>
      </c>
      <c r="M362" s="20">
        <v>28</v>
      </c>
      <c r="N362" s="20">
        <v>28</v>
      </c>
      <c r="O362" s="20">
        <v>28</v>
      </c>
      <c r="Q362">
        <f t="shared" si="5"/>
        <v>246</v>
      </c>
    </row>
    <row r="363" spans="1:17" x14ac:dyDescent="0.3">
      <c r="A363" s="20" t="s">
        <v>89</v>
      </c>
      <c r="B363" s="20">
        <v>340654</v>
      </c>
      <c r="C363" s="32">
        <v>42863</v>
      </c>
      <c r="D363" s="20" t="s">
        <v>264</v>
      </c>
      <c r="E363" s="20">
        <v>1</v>
      </c>
      <c r="F363" s="20">
        <v>1</v>
      </c>
      <c r="G363" s="20">
        <v>2</v>
      </c>
      <c r="H363" s="20">
        <v>2</v>
      </c>
      <c r="I363" s="20">
        <v>2</v>
      </c>
      <c r="J363" s="20">
        <v>2</v>
      </c>
      <c r="K363" s="20">
        <v>2</v>
      </c>
      <c r="L363" s="20">
        <v>2</v>
      </c>
      <c r="M363" s="20">
        <v>2</v>
      </c>
      <c r="N363" s="20">
        <v>2</v>
      </c>
      <c r="O363" s="20">
        <v>2</v>
      </c>
      <c r="Q363">
        <f t="shared" si="5"/>
        <v>19</v>
      </c>
    </row>
    <row r="364" spans="1:17" x14ac:dyDescent="0.3">
      <c r="A364" s="20" t="s">
        <v>89</v>
      </c>
      <c r="B364" s="20">
        <v>340655</v>
      </c>
      <c r="C364" s="32">
        <v>42863</v>
      </c>
      <c r="D364" s="20" t="s">
        <v>256</v>
      </c>
      <c r="E364" s="20">
        <v>2</v>
      </c>
      <c r="F364" s="20">
        <v>2</v>
      </c>
      <c r="G364" s="20">
        <v>2</v>
      </c>
      <c r="H364" s="20">
        <v>3</v>
      </c>
      <c r="I364" s="20">
        <v>3</v>
      </c>
      <c r="J364" s="20">
        <v>3</v>
      </c>
      <c r="K364" s="20">
        <v>3</v>
      </c>
      <c r="L364" s="20">
        <v>3</v>
      </c>
      <c r="M364" s="20">
        <v>3</v>
      </c>
      <c r="N364" s="20">
        <v>3</v>
      </c>
      <c r="O364" s="20">
        <v>3</v>
      </c>
      <c r="Q364">
        <f t="shared" si="5"/>
        <v>28</v>
      </c>
    </row>
    <row r="365" spans="1:17" x14ac:dyDescent="0.3">
      <c r="A365" s="20" t="s">
        <v>89</v>
      </c>
      <c r="B365" s="20">
        <v>340683</v>
      </c>
      <c r="C365" s="32">
        <v>42863</v>
      </c>
      <c r="D365" s="20" t="s">
        <v>255</v>
      </c>
      <c r="E365" s="20">
        <v>8</v>
      </c>
      <c r="F365" s="20">
        <v>8</v>
      </c>
      <c r="G365" s="20">
        <v>11</v>
      </c>
      <c r="H365" s="20">
        <v>14</v>
      </c>
      <c r="I365" s="20">
        <v>20</v>
      </c>
      <c r="J365" s="20">
        <v>26</v>
      </c>
      <c r="K365" s="20">
        <v>27</v>
      </c>
      <c r="L365" s="20">
        <v>27</v>
      </c>
      <c r="M365" s="20">
        <v>27</v>
      </c>
      <c r="N365" s="20">
        <v>27</v>
      </c>
      <c r="O365" s="20">
        <v>27</v>
      </c>
      <c r="Q365">
        <f t="shared" si="5"/>
        <v>214</v>
      </c>
    </row>
    <row r="366" spans="1:17" x14ac:dyDescent="0.3">
      <c r="A366" s="20" t="s">
        <v>89</v>
      </c>
      <c r="B366" s="20">
        <v>340690</v>
      </c>
      <c r="C366" s="32">
        <v>42863</v>
      </c>
      <c r="D366" s="20" t="s">
        <v>261</v>
      </c>
      <c r="E366" s="20">
        <v>1</v>
      </c>
      <c r="F366" s="20">
        <v>1</v>
      </c>
      <c r="G366" s="20">
        <v>1</v>
      </c>
      <c r="H366" s="20">
        <v>2</v>
      </c>
      <c r="I366" s="20">
        <v>2</v>
      </c>
      <c r="J366" s="20">
        <v>2</v>
      </c>
      <c r="K366" s="20">
        <v>2</v>
      </c>
      <c r="L366" s="20">
        <v>2</v>
      </c>
      <c r="M366" s="20">
        <v>2</v>
      </c>
      <c r="N366" s="20">
        <v>2</v>
      </c>
      <c r="O366" s="20">
        <v>2</v>
      </c>
      <c r="Q366">
        <f t="shared" si="5"/>
        <v>18</v>
      </c>
    </row>
    <row r="367" spans="1:17" x14ac:dyDescent="0.3">
      <c r="A367" s="20" t="s">
        <v>89</v>
      </c>
      <c r="B367" s="20">
        <v>340692</v>
      </c>
      <c r="C367" s="32">
        <v>42863</v>
      </c>
      <c r="D367" s="20" t="s">
        <v>258</v>
      </c>
      <c r="E367" s="20">
        <v>2</v>
      </c>
      <c r="F367" s="20">
        <v>2</v>
      </c>
      <c r="G367" s="20">
        <v>3</v>
      </c>
      <c r="H367" s="20">
        <v>3</v>
      </c>
      <c r="I367" s="20">
        <v>3</v>
      </c>
      <c r="J367" s="20">
        <v>3</v>
      </c>
      <c r="K367" s="20">
        <v>3</v>
      </c>
      <c r="L367" s="20">
        <v>3</v>
      </c>
      <c r="M367" s="20">
        <v>3</v>
      </c>
      <c r="N367" s="20">
        <v>3</v>
      </c>
      <c r="O367" s="20">
        <v>3</v>
      </c>
      <c r="Q367">
        <f t="shared" si="5"/>
        <v>29</v>
      </c>
    </row>
    <row r="368" spans="1:17" x14ac:dyDescent="0.3">
      <c r="A368" s="20" t="s">
        <v>89</v>
      </c>
      <c r="B368" s="20">
        <v>340510</v>
      </c>
      <c r="C368" s="32">
        <v>42863</v>
      </c>
      <c r="D368" s="20" t="s">
        <v>253</v>
      </c>
      <c r="E368" s="20">
        <v>3</v>
      </c>
      <c r="F368" s="20">
        <v>3</v>
      </c>
      <c r="G368" s="20">
        <v>14</v>
      </c>
      <c r="H368" s="20">
        <v>65</v>
      </c>
      <c r="I368" s="20">
        <v>106</v>
      </c>
      <c r="J368" s="20">
        <v>160</v>
      </c>
      <c r="K368" s="20">
        <v>160</v>
      </c>
      <c r="L368" s="20">
        <v>160</v>
      </c>
      <c r="M368" s="20">
        <v>160</v>
      </c>
      <c r="N368" s="20">
        <v>160</v>
      </c>
      <c r="O368" s="20">
        <v>160</v>
      </c>
      <c r="Q368">
        <f t="shared" si="5"/>
        <v>1148</v>
      </c>
    </row>
    <row r="369" spans="1:17" x14ac:dyDescent="0.3">
      <c r="A369" s="20" t="s">
        <v>89</v>
      </c>
      <c r="B369" s="20">
        <v>340511</v>
      </c>
      <c r="C369" s="32">
        <v>42863</v>
      </c>
      <c r="D369" s="20" t="s">
        <v>255</v>
      </c>
      <c r="E369" s="20">
        <v>7</v>
      </c>
      <c r="F369" s="20">
        <v>7</v>
      </c>
      <c r="G369" s="20">
        <v>13</v>
      </c>
      <c r="H369" s="20">
        <v>20</v>
      </c>
      <c r="I369" s="20">
        <v>26</v>
      </c>
      <c r="J369" s="20">
        <v>37</v>
      </c>
      <c r="K369" s="20">
        <v>38</v>
      </c>
      <c r="L369" s="20">
        <v>38</v>
      </c>
      <c r="M369" s="20">
        <v>38</v>
      </c>
      <c r="N369" s="20">
        <v>38</v>
      </c>
      <c r="O369" s="20">
        <v>38</v>
      </c>
      <c r="Q369">
        <f t="shared" si="5"/>
        <v>293</v>
      </c>
    </row>
    <row r="370" spans="1:17" x14ac:dyDescent="0.3">
      <c r="A370" s="20" t="s">
        <v>89</v>
      </c>
      <c r="B370" s="20">
        <v>340512</v>
      </c>
      <c r="C370" s="32">
        <v>42863</v>
      </c>
      <c r="D370" s="20" t="s">
        <v>256</v>
      </c>
      <c r="E370" s="20">
        <v>1</v>
      </c>
      <c r="F370" s="20">
        <v>1</v>
      </c>
      <c r="G370" s="20">
        <v>2</v>
      </c>
      <c r="H370" s="20">
        <v>2</v>
      </c>
      <c r="I370" s="20">
        <v>2</v>
      </c>
      <c r="J370" s="20">
        <v>2</v>
      </c>
      <c r="K370" s="20">
        <v>2</v>
      </c>
      <c r="L370" s="20">
        <v>2</v>
      </c>
      <c r="M370" s="20">
        <v>2</v>
      </c>
      <c r="N370" s="20">
        <v>2</v>
      </c>
      <c r="O370" s="20">
        <v>2</v>
      </c>
      <c r="Q370">
        <f t="shared" si="5"/>
        <v>19</v>
      </c>
    </row>
    <row r="371" spans="1:17" x14ac:dyDescent="0.3">
      <c r="A371" s="20" t="s">
        <v>89</v>
      </c>
      <c r="B371" s="20">
        <v>341605</v>
      </c>
      <c r="C371" s="32">
        <v>42863</v>
      </c>
      <c r="D371" s="20" t="s">
        <v>255</v>
      </c>
      <c r="E371" s="20">
        <v>17</v>
      </c>
      <c r="F371" s="20">
        <v>17</v>
      </c>
      <c r="G371" s="20">
        <v>18</v>
      </c>
      <c r="H371" s="20">
        <v>19</v>
      </c>
      <c r="I371" s="20">
        <v>22</v>
      </c>
      <c r="J371" s="20">
        <v>22</v>
      </c>
      <c r="K371" s="20">
        <v>22</v>
      </c>
      <c r="L371" s="20">
        <v>22</v>
      </c>
      <c r="M371" s="20">
        <v>22</v>
      </c>
      <c r="N371" s="20">
        <v>22</v>
      </c>
      <c r="O371" s="20">
        <v>22</v>
      </c>
      <c r="Q371">
        <f t="shared" si="5"/>
        <v>208</v>
      </c>
    </row>
    <row r="372" spans="1:17" x14ac:dyDescent="0.3">
      <c r="A372" s="20" t="s">
        <v>89</v>
      </c>
      <c r="B372" s="20">
        <v>341613</v>
      </c>
      <c r="C372" s="32">
        <v>42863</v>
      </c>
      <c r="D372" s="20" t="s">
        <v>258</v>
      </c>
      <c r="E372" s="20">
        <v>3</v>
      </c>
      <c r="F372" s="20">
        <v>3</v>
      </c>
      <c r="G372" s="20">
        <v>3</v>
      </c>
      <c r="H372" s="20">
        <v>4</v>
      </c>
      <c r="I372" s="20">
        <v>4</v>
      </c>
      <c r="J372" s="20">
        <v>4</v>
      </c>
      <c r="K372" s="20">
        <v>4</v>
      </c>
      <c r="L372" s="20">
        <v>4</v>
      </c>
      <c r="M372" s="20">
        <v>4</v>
      </c>
      <c r="N372" s="20">
        <v>4</v>
      </c>
      <c r="O372" s="20">
        <v>4</v>
      </c>
      <c r="Q372">
        <f t="shared" si="5"/>
        <v>38</v>
      </c>
    </row>
    <row r="373" spans="1:17" x14ac:dyDescent="0.3">
      <c r="A373" s="20" t="s">
        <v>89</v>
      </c>
      <c r="B373" s="20">
        <v>340110</v>
      </c>
      <c r="C373" s="32">
        <v>42863</v>
      </c>
      <c r="D373" s="20" t="s">
        <v>255</v>
      </c>
      <c r="E373" s="20">
        <v>10</v>
      </c>
      <c r="F373" s="20">
        <v>10</v>
      </c>
      <c r="G373" s="20">
        <v>12</v>
      </c>
      <c r="H373" s="20">
        <v>19</v>
      </c>
      <c r="I373" s="20">
        <v>23</v>
      </c>
      <c r="J373" s="20">
        <v>25</v>
      </c>
      <c r="K373" s="20">
        <v>26</v>
      </c>
      <c r="L373" s="20">
        <v>26</v>
      </c>
      <c r="M373" s="20">
        <v>26</v>
      </c>
      <c r="N373" s="20">
        <v>26</v>
      </c>
      <c r="O373" s="20">
        <v>26</v>
      </c>
      <c r="Q373">
        <f t="shared" si="5"/>
        <v>219</v>
      </c>
    </row>
    <row r="374" spans="1:17" x14ac:dyDescent="0.3">
      <c r="A374" s="20" t="s">
        <v>89</v>
      </c>
      <c r="B374" s="20">
        <v>341660</v>
      </c>
      <c r="C374" s="32">
        <v>42863</v>
      </c>
      <c r="D374" s="20" t="s">
        <v>258</v>
      </c>
      <c r="E374" s="20">
        <v>1</v>
      </c>
      <c r="F374" s="20">
        <v>1</v>
      </c>
      <c r="G374" s="20">
        <v>2</v>
      </c>
      <c r="H374" s="20">
        <v>2</v>
      </c>
      <c r="I374" s="20">
        <v>2</v>
      </c>
      <c r="J374" s="20">
        <v>2</v>
      </c>
      <c r="K374" s="20">
        <v>2</v>
      </c>
      <c r="L374" s="20">
        <v>2</v>
      </c>
      <c r="M374" s="20">
        <v>2</v>
      </c>
      <c r="N374" s="20">
        <v>2</v>
      </c>
      <c r="O374" s="20">
        <v>2</v>
      </c>
      <c r="Q374">
        <f t="shared" si="5"/>
        <v>19</v>
      </c>
    </row>
    <row r="375" spans="1:17" x14ac:dyDescent="0.3">
      <c r="A375" s="20" t="s">
        <v>89</v>
      </c>
      <c r="B375" s="20">
        <v>339892</v>
      </c>
      <c r="C375" s="32">
        <v>42863</v>
      </c>
      <c r="D375" s="20" t="s">
        <v>258</v>
      </c>
      <c r="E375" s="20">
        <v>2</v>
      </c>
      <c r="F375" s="20">
        <v>2</v>
      </c>
      <c r="G375" s="20">
        <v>4</v>
      </c>
      <c r="H375" s="20">
        <v>4</v>
      </c>
      <c r="I375" s="20">
        <v>4</v>
      </c>
      <c r="J375" s="20">
        <v>4</v>
      </c>
      <c r="K375" s="20">
        <v>4</v>
      </c>
      <c r="L375" s="20">
        <v>4</v>
      </c>
      <c r="M375" s="20">
        <v>4</v>
      </c>
      <c r="N375" s="20">
        <v>4</v>
      </c>
      <c r="O375" s="20">
        <v>4</v>
      </c>
      <c r="Q375">
        <f t="shared" si="5"/>
        <v>38</v>
      </c>
    </row>
    <row r="376" spans="1:17" x14ac:dyDescent="0.3">
      <c r="A376" s="20" t="s">
        <v>89</v>
      </c>
      <c r="B376" s="20">
        <v>339319</v>
      </c>
      <c r="C376" s="32">
        <v>42863</v>
      </c>
      <c r="D376" s="20" t="s">
        <v>255</v>
      </c>
      <c r="E376" s="20">
        <v>12</v>
      </c>
      <c r="F376" s="20">
        <v>12</v>
      </c>
      <c r="G376" s="20">
        <v>16</v>
      </c>
      <c r="H376" s="20">
        <v>22</v>
      </c>
      <c r="I376" s="20">
        <v>24</v>
      </c>
      <c r="J376" s="20">
        <v>25</v>
      </c>
      <c r="K376" s="20">
        <v>25</v>
      </c>
      <c r="L376" s="20">
        <v>25</v>
      </c>
      <c r="M376" s="20">
        <v>25</v>
      </c>
      <c r="N376" s="20">
        <v>25</v>
      </c>
      <c r="O376" s="20">
        <v>25</v>
      </c>
      <c r="Q376">
        <f t="shared" si="5"/>
        <v>224</v>
      </c>
    </row>
    <row r="377" spans="1:17" x14ac:dyDescent="0.3">
      <c r="A377" s="20" t="s">
        <v>89</v>
      </c>
      <c r="B377" s="20">
        <v>339807</v>
      </c>
      <c r="C377" s="32">
        <v>42863</v>
      </c>
      <c r="D377" s="20" t="s">
        <v>262</v>
      </c>
      <c r="E377" s="20">
        <v>1</v>
      </c>
      <c r="F377" s="20">
        <v>1</v>
      </c>
      <c r="G377" s="20">
        <v>1</v>
      </c>
      <c r="H377" s="20">
        <v>3</v>
      </c>
      <c r="I377" s="20">
        <v>3</v>
      </c>
      <c r="J377" s="20">
        <v>3</v>
      </c>
      <c r="K377" s="20">
        <v>3</v>
      </c>
      <c r="L377" s="20">
        <v>3</v>
      </c>
      <c r="M377" s="20">
        <v>3</v>
      </c>
      <c r="N377" s="20">
        <v>3</v>
      </c>
      <c r="O377" s="20">
        <v>3</v>
      </c>
      <c r="Q377">
        <f t="shared" si="5"/>
        <v>26</v>
      </c>
    </row>
    <row r="378" spans="1:17" x14ac:dyDescent="0.3">
      <c r="A378" s="20" t="s">
        <v>89</v>
      </c>
      <c r="B378" s="20">
        <v>339052</v>
      </c>
      <c r="C378" s="32">
        <v>42863</v>
      </c>
      <c r="D378" s="20" t="s">
        <v>258</v>
      </c>
      <c r="E378" s="20">
        <v>1</v>
      </c>
      <c r="F378" s="20">
        <v>2</v>
      </c>
      <c r="G378" s="20">
        <v>2</v>
      </c>
      <c r="H378" s="20">
        <v>3</v>
      </c>
      <c r="I378" s="20">
        <v>3</v>
      </c>
      <c r="J378" s="20">
        <v>3</v>
      </c>
      <c r="K378" s="20">
        <v>3</v>
      </c>
      <c r="L378" s="20">
        <v>3</v>
      </c>
      <c r="M378" s="20">
        <v>3</v>
      </c>
      <c r="N378" s="20">
        <v>3</v>
      </c>
      <c r="O378" s="20">
        <v>3</v>
      </c>
      <c r="Q378">
        <f t="shared" si="5"/>
        <v>28</v>
      </c>
    </row>
    <row r="379" spans="1:17" x14ac:dyDescent="0.3">
      <c r="A379" s="20" t="s">
        <v>89</v>
      </c>
      <c r="B379" s="20">
        <v>345940</v>
      </c>
      <c r="C379" s="32">
        <v>42863</v>
      </c>
      <c r="D379" s="20" t="s">
        <v>255</v>
      </c>
      <c r="E379" s="20">
        <v>3</v>
      </c>
      <c r="F379" s="20">
        <v>3</v>
      </c>
      <c r="G379" s="20">
        <v>5</v>
      </c>
      <c r="H379" s="20">
        <v>10</v>
      </c>
      <c r="I379" s="20">
        <v>12</v>
      </c>
      <c r="J379" s="20">
        <v>13</v>
      </c>
      <c r="K379" s="20">
        <v>14</v>
      </c>
      <c r="L379" s="20">
        <v>17</v>
      </c>
      <c r="M379" s="20">
        <v>17</v>
      </c>
      <c r="N379" s="20">
        <v>17</v>
      </c>
      <c r="O379" s="20">
        <v>17</v>
      </c>
      <c r="Q379">
        <f t="shared" si="5"/>
        <v>125</v>
      </c>
    </row>
    <row r="380" spans="1:17" x14ac:dyDescent="0.3">
      <c r="A380" s="20" t="s">
        <v>89</v>
      </c>
      <c r="B380" s="20">
        <v>344395</v>
      </c>
      <c r="C380" s="32">
        <v>42863</v>
      </c>
      <c r="D380" s="20" t="s">
        <v>259</v>
      </c>
      <c r="E380" s="20">
        <v>1</v>
      </c>
      <c r="F380" s="20">
        <v>1</v>
      </c>
      <c r="G380" s="20">
        <v>2</v>
      </c>
      <c r="H380" s="20">
        <v>3</v>
      </c>
      <c r="I380" s="20">
        <v>3</v>
      </c>
      <c r="J380" s="20">
        <v>3</v>
      </c>
      <c r="K380" s="20">
        <v>3</v>
      </c>
      <c r="L380" s="20">
        <v>3</v>
      </c>
      <c r="M380" s="20">
        <v>3</v>
      </c>
      <c r="N380" s="20">
        <v>3</v>
      </c>
      <c r="O380" s="20">
        <v>3</v>
      </c>
      <c r="Q380">
        <f t="shared" si="5"/>
        <v>27</v>
      </c>
    </row>
    <row r="381" spans="1:17" x14ac:dyDescent="0.3">
      <c r="A381" s="20" t="s">
        <v>89</v>
      </c>
      <c r="B381" s="20">
        <v>344458</v>
      </c>
      <c r="C381" s="32">
        <v>42863</v>
      </c>
      <c r="D381" s="20" t="s">
        <v>257</v>
      </c>
      <c r="E381" s="20">
        <v>1</v>
      </c>
      <c r="F381" s="20">
        <v>1</v>
      </c>
      <c r="G381" s="20">
        <v>2</v>
      </c>
      <c r="H381" s="20">
        <v>2</v>
      </c>
      <c r="I381" s="20">
        <v>2</v>
      </c>
      <c r="J381" s="20">
        <v>2</v>
      </c>
      <c r="K381" s="20">
        <v>2</v>
      </c>
      <c r="L381" s="20">
        <v>2</v>
      </c>
      <c r="M381" s="20">
        <v>2</v>
      </c>
      <c r="N381" s="20">
        <v>2</v>
      </c>
      <c r="O381" s="20">
        <v>2</v>
      </c>
      <c r="Q381">
        <f t="shared" si="5"/>
        <v>19</v>
      </c>
    </row>
    <row r="382" spans="1:17" x14ac:dyDescent="0.3">
      <c r="A382" s="20" t="s">
        <v>89</v>
      </c>
      <c r="B382" s="20">
        <v>345337</v>
      </c>
      <c r="C382" s="32">
        <v>42863</v>
      </c>
      <c r="D382" s="20" t="s">
        <v>256</v>
      </c>
      <c r="E382" s="20">
        <v>1</v>
      </c>
      <c r="F382" s="20">
        <v>1</v>
      </c>
      <c r="G382" s="20">
        <v>1</v>
      </c>
      <c r="H382" s="20">
        <v>2</v>
      </c>
      <c r="I382" s="20">
        <v>2</v>
      </c>
      <c r="J382" s="20">
        <v>3</v>
      </c>
      <c r="K382" s="20">
        <v>3</v>
      </c>
      <c r="L382" s="20">
        <v>3</v>
      </c>
      <c r="M382" s="20">
        <v>3</v>
      </c>
      <c r="N382" s="20">
        <v>3</v>
      </c>
      <c r="O382" s="20">
        <v>3</v>
      </c>
      <c r="Q382">
        <f t="shared" si="5"/>
        <v>24</v>
      </c>
    </row>
    <row r="383" spans="1:17" x14ac:dyDescent="0.3">
      <c r="A383" s="20" t="s">
        <v>89</v>
      </c>
      <c r="B383" s="20">
        <v>344599</v>
      </c>
      <c r="C383" s="32">
        <v>42863</v>
      </c>
      <c r="D383" s="20" t="s">
        <v>253</v>
      </c>
      <c r="E383" s="20">
        <v>158</v>
      </c>
      <c r="F383" s="20">
        <v>158</v>
      </c>
      <c r="G383" s="20">
        <v>162</v>
      </c>
      <c r="H383" s="20">
        <v>163</v>
      </c>
      <c r="I383" s="20">
        <v>163</v>
      </c>
      <c r="J383" s="20">
        <v>163</v>
      </c>
      <c r="K383" s="20">
        <v>163</v>
      </c>
      <c r="L383" s="20">
        <v>163</v>
      </c>
      <c r="M383" s="20">
        <v>163</v>
      </c>
      <c r="N383" s="20">
        <v>163</v>
      </c>
      <c r="O383" s="20">
        <v>163</v>
      </c>
      <c r="Q383">
        <f t="shared" si="5"/>
        <v>1624</v>
      </c>
    </row>
    <row r="384" spans="1:17" x14ac:dyDescent="0.3">
      <c r="A384" s="20" t="s">
        <v>89</v>
      </c>
      <c r="B384" s="20">
        <v>345681</v>
      </c>
      <c r="C384" s="32">
        <v>42863</v>
      </c>
      <c r="D384" s="20" t="s">
        <v>255</v>
      </c>
      <c r="E384" s="20">
        <v>8</v>
      </c>
      <c r="F384" s="20">
        <v>8</v>
      </c>
      <c r="G384" s="20">
        <v>14</v>
      </c>
      <c r="H384" s="20">
        <v>21</v>
      </c>
      <c r="I384" s="20">
        <v>21</v>
      </c>
      <c r="J384" s="20">
        <v>21</v>
      </c>
      <c r="K384" s="20">
        <v>25</v>
      </c>
      <c r="L384" s="20">
        <v>25</v>
      </c>
      <c r="M384" s="20">
        <v>25</v>
      </c>
      <c r="N384" s="20">
        <v>25</v>
      </c>
      <c r="O384" s="20">
        <v>26</v>
      </c>
      <c r="Q384">
        <f t="shared" si="5"/>
        <v>211</v>
      </c>
    </row>
    <row r="385" spans="1:17" x14ac:dyDescent="0.3">
      <c r="A385" s="20" t="s">
        <v>89</v>
      </c>
      <c r="B385" s="20">
        <v>344191</v>
      </c>
      <c r="C385" s="32">
        <v>42863</v>
      </c>
      <c r="D385" s="20" t="s">
        <v>253</v>
      </c>
      <c r="E385" s="20">
        <v>157</v>
      </c>
      <c r="F385" s="20">
        <v>157</v>
      </c>
      <c r="G385" s="20">
        <v>157</v>
      </c>
      <c r="H385" s="20">
        <v>160</v>
      </c>
      <c r="I385" s="20">
        <v>161</v>
      </c>
      <c r="J385" s="20">
        <v>161</v>
      </c>
      <c r="K385" s="20">
        <v>162</v>
      </c>
      <c r="L385" s="20">
        <v>163</v>
      </c>
      <c r="M385" s="20">
        <v>163</v>
      </c>
      <c r="N385" s="20">
        <v>163</v>
      </c>
      <c r="O385" s="20">
        <v>163</v>
      </c>
      <c r="Q385">
        <f t="shared" si="5"/>
        <v>1610</v>
      </c>
    </row>
    <row r="386" spans="1:17" x14ac:dyDescent="0.3">
      <c r="A386" s="20" t="s">
        <v>89</v>
      </c>
      <c r="B386" s="20">
        <v>344192</v>
      </c>
      <c r="C386" s="32">
        <v>42863</v>
      </c>
      <c r="D386" s="20" t="s">
        <v>255</v>
      </c>
      <c r="E386" s="20">
        <v>16</v>
      </c>
      <c r="F386" s="20">
        <v>16</v>
      </c>
      <c r="G386" s="20">
        <v>17</v>
      </c>
      <c r="H386" s="20">
        <v>18</v>
      </c>
      <c r="I386" s="20">
        <v>24</v>
      </c>
      <c r="J386" s="20">
        <v>28</v>
      </c>
      <c r="K386" s="20">
        <v>28</v>
      </c>
      <c r="L386" s="20">
        <v>28</v>
      </c>
      <c r="M386" s="20">
        <v>28</v>
      </c>
      <c r="N386" s="20">
        <v>28</v>
      </c>
      <c r="O386" s="20">
        <v>28</v>
      </c>
      <c r="Q386">
        <f t="shared" si="5"/>
        <v>243</v>
      </c>
    </row>
    <row r="387" spans="1:17" x14ac:dyDescent="0.3">
      <c r="A387" s="20" t="s">
        <v>89</v>
      </c>
      <c r="B387" s="20">
        <v>344197</v>
      </c>
      <c r="C387" s="32">
        <v>42863</v>
      </c>
      <c r="D387" s="20" t="s">
        <v>265</v>
      </c>
      <c r="E387" s="20">
        <v>1</v>
      </c>
      <c r="F387" s="20">
        <v>1</v>
      </c>
      <c r="G387" s="20">
        <v>2</v>
      </c>
      <c r="H387" s="20">
        <v>2</v>
      </c>
      <c r="I387" s="20">
        <v>2</v>
      </c>
      <c r="J387" s="20">
        <v>2</v>
      </c>
      <c r="K387" s="20">
        <v>2</v>
      </c>
      <c r="L387" s="20">
        <v>2</v>
      </c>
      <c r="M387" s="20">
        <v>2</v>
      </c>
      <c r="N387" s="20">
        <v>2</v>
      </c>
      <c r="O387" s="20">
        <v>2</v>
      </c>
      <c r="Q387">
        <f t="shared" ref="Q387:Q450" si="6">SUM(F387:O387)</f>
        <v>19</v>
      </c>
    </row>
    <row r="388" spans="1:17" x14ac:dyDescent="0.3">
      <c r="A388" s="20" t="s">
        <v>89</v>
      </c>
      <c r="B388" s="20">
        <v>344696</v>
      </c>
      <c r="C388" s="32">
        <v>42863</v>
      </c>
      <c r="D388" s="20" t="s">
        <v>255</v>
      </c>
      <c r="E388" s="20">
        <v>18</v>
      </c>
      <c r="F388" s="20">
        <v>18</v>
      </c>
      <c r="G388" s="20">
        <v>21</v>
      </c>
      <c r="H388" s="20">
        <v>24</v>
      </c>
      <c r="I388" s="20">
        <v>24</v>
      </c>
      <c r="J388" s="20">
        <v>24</v>
      </c>
      <c r="K388" s="20">
        <v>24</v>
      </c>
      <c r="L388" s="20">
        <v>24</v>
      </c>
      <c r="M388" s="20">
        <v>24</v>
      </c>
      <c r="N388" s="20">
        <v>24</v>
      </c>
      <c r="O388" s="20">
        <v>24</v>
      </c>
      <c r="Q388">
        <f t="shared" si="6"/>
        <v>231</v>
      </c>
    </row>
    <row r="389" spans="1:17" x14ac:dyDescent="0.3">
      <c r="A389" s="20" t="s">
        <v>89</v>
      </c>
      <c r="B389" s="20">
        <v>344702</v>
      </c>
      <c r="C389" s="32">
        <v>42863</v>
      </c>
      <c r="D389" s="20" t="s">
        <v>258</v>
      </c>
      <c r="E389" s="20">
        <v>2</v>
      </c>
      <c r="F389" s="20">
        <v>2</v>
      </c>
      <c r="G389" s="20">
        <v>2</v>
      </c>
      <c r="H389" s="20">
        <v>4</v>
      </c>
      <c r="I389" s="20">
        <v>4</v>
      </c>
      <c r="J389" s="20">
        <v>4</v>
      </c>
      <c r="K389" s="20">
        <v>4</v>
      </c>
      <c r="L389" s="20">
        <v>4</v>
      </c>
      <c r="M389" s="20">
        <v>4</v>
      </c>
      <c r="N389" s="20">
        <v>4</v>
      </c>
      <c r="O389" s="20">
        <v>4</v>
      </c>
      <c r="Q389">
        <f t="shared" si="6"/>
        <v>36</v>
      </c>
    </row>
    <row r="390" spans="1:17" x14ac:dyDescent="0.3">
      <c r="A390" s="20" t="s">
        <v>89</v>
      </c>
      <c r="B390" s="20">
        <v>344944</v>
      </c>
      <c r="C390" s="32">
        <v>42863</v>
      </c>
      <c r="D390" s="20" t="s">
        <v>253</v>
      </c>
      <c r="E390" s="20">
        <v>77</v>
      </c>
      <c r="F390" s="20">
        <v>77</v>
      </c>
      <c r="G390" s="20">
        <v>99</v>
      </c>
      <c r="H390" s="20">
        <v>137</v>
      </c>
      <c r="I390" s="20">
        <v>142</v>
      </c>
      <c r="J390" s="20">
        <v>142</v>
      </c>
      <c r="K390" s="20">
        <v>142</v>
      </c>
      <c r="L390" s="20">
        <v>142</v>
      </c>
      <c r="M390" s="20">
        <v>142</v>
      </c>
      <c r="N390" s="20">
        <v>142</v>
      </c>
      <c r="O390" s="20">
        <v>142</v>
      </c>
      <c r="Q390">
        <f t="shared" si="6"/>
        <v>1307</v>
      </c>
    </row>
    <row r="391" spans="1:17" x14ac:dyDescent="0.3">
      <c r="A391" s="20" t="s">
        <v>89</v>
      </c>
      <c r="B391" s="20">
        <v>344945</v>
      </c>
      <c r="C391" s="32">
        <v>42863</v>
      </c>
      <c r="D391" s="20" t="s">
        <v>255</v>
      </c>
      <c r="E391" s="20">
        <v>14</v>
      </c>
      <c r="F391" s="20">
        <v>14</v>
      </c>
      <c r="G391" s="20">
        <v>15</v>
      </c>
      <c r="H391" s="20">
        <v>16</v>
      </c>
      <c r="I391" s="20">
        <v>22</v>
      </c>
      <c r="J391" s="20">
        <v>22</v>
      </c>
      <c r="K391" s="20">
        <v>22</v>
      </c>
      <c r="L391" s="20">
        <v>22</v>
      </c>
      <c r="M391" s="20">
        <v>22</v>
      </c>
      <c r="N391" s="20">
        <v>22</v>
      </c>
      <c r="O391" s="20">
        <v>22</v>
      </c>
      <c r="Q391">
        <f t="shared" si="6"/>
        <v>199</v>
      </c>
    </row>
    <row r="392" spans="1:17" x14ac:dyDescent="0.3">
      <c r="A392" s="20" t="s">
        <v>89</v>
      </c>
      <c r="B392" s="20">
        <v>344953</v>
      </c>
      <c r="C392" s="32">
        <v>42863</v>
      </c>
      <c r="D392" s="20" t="s">
        <v>255</v>
      </c>
      <c r="E392" s="20">
        <v>25</v>
      </c>
      <c r="F392" s="20">
        <v>25</v>
      </c>
      <c r="G392" s="20">
        <v>27</v>
      </c>
      <c r="H392" s="20">
        <v>29</v>
      </c>
      <c r="I392" s="20">
        <v>30</v>
      </c>
      <c r="J392" s="20">
        <v>30</v>
      </c>
      <c r="K392" s="20">
        <v>30</v>
      </c>
      <c r="L392" s="20">
        <v>30</v>
      </c>
      <c r="M392" s="20">
        <v>30</v>
      </c>
      <c r="N392" s="20">
        <v>30</v>
      </c>
      <c r="O392" s="20">
        <v>30</v>
      </c>
      <c r="Q392">
        <f t="shared" si="6"/>
        <v>291</v>
      </c>
    </row>
    <row r="393" spans="1:17" x14ac:dyDescent="0.3">
      <c r="A393" s="20" t="s">
        <v>89</v>
      </c>
      <c r="B393" s="20">
        <v>344766</v>
      </c>
      <c r="C393" s="32">
        <v>42863</v>
      </c>
      <c r="D393" s="20" t="s">
        <v>255</v>
      </c>
      <c r="E393" s="20">
        <v>14</v>
      </c>
      <c r="F393" s="20">
        <v>14</v>
      </c>
      <c r="G393" s="20">
        <v>17</v>
      </c>
      <c r="H393" s="20">
        <v>18</v>
      </c>
      <c r="I393" s="20">
        <v>22</v>
      </c>
      <c r="J393" s="20">
        <v>25</v>
      </c>
      <c r="K393" s="20">
        <v>25</v>
      </c>
      <c r="L393" s="20">
        <v>25</v>
      </c>
      <c r="M393" s="20">
        <v>25</v>
      </c>
      <c r="N393" s="20">
        <v>25</v>
      </c>
      <c r="O393" s="20">
        <v>25</v>
      </c>
      <c r="Q393">
        <f t="shared" si="6"/>
        <v>221</v>
      </c>
    </row>
    <row r="394" spans="1:17" x14ac:dyDescent="0.3">
      <c r="A394" s="20" t="s">
        <v>89</v>
      </c>
      <c r="B394" s="20">
        <v>344295</v>
      </c>
      <c r="C394" s="32">
        <v>42863</v>
      </c>
      <c r="D394" s="20" t="s">
        <v>253</v>
      </c>
      <c r="E394" s="20">
        <v>86</v>
      </c>
      <c r="F394" s="20">
        <v>86</v>
      </c>
      <c r="G394" s="20">
        <v>90</v>
      </c>
      <c r="H394" s="20">
        <v>128</v>
      </c>
      <c r="I394" s="20">
        <v>150</v>
      </c>
      <c r="J394" s="20">
        <v>150</v>
      </c>
      <c r="K394" s="20">
        <v>150</v>
      </c>
      <c r="L394" s="20">
        <v>150</v>
      </c>
      <c r="M394" s="20">
        <v>150</v>
      </c>
      <c r="N394" s="20">
        <v>150</v>
      </c>
      <c r="O394" s="20">
        <v>150</v>
      </c>
      <c r="Q394">
        <f t="shared" si="6"/>
        <v>1354</v>
      </c>
    </row>
    <row r="395" spans="1:17" x14ac:dyDescent="0.3">
      <c r="A395" s="20" t="s">
        <v>89</v>
      </c>
      <c r="B395" s="20">
        <v>344296</v>
      </c>
      <c r="C395" s="32">
        <v>42863</v>
      </c>
      <c r="D395" s="20" t="s">
        <v>255</v>
      </c>
      <c r="E395" s="20">
        <v>8</v>
      </c>
      <c r="F395" s="20">
        <v>8</v>
      </c>
      <c r="G395" s="20">
        <v>10</v>
      </c>
      <c r="H395" s="20">
        <v>13</v>
      </c>
      <c r="I395" s="20">
        <v>14</v>
      </c>
      <c r="J395" s="20">
        <v>14</v>
      </c>
      <c r="K395" s="20">
        <v>14</v>
      </c>
      <c r="L395" s="20">
        <v>14</v>
      </c>
      <c r="M395" s="20">
        <v>14</v>
      </c>
      <c r="N395" s="20">
        <v>14</v>
      </c>
      <c r="O395" s="20">
        <v>14</v>
      </c>
      <c r="Q395">
        <f t="shared" si="6"/>
        <v>129</v>
      </c>
    </row>
    <row r="396" spans="1:17" x14ac:dyDescent="0.3">
      <c r="A396" s="20" t="s">
        <v>89</v>
      </c>
      <c r="B396" s="20">
        <v>345028</v>
      </c>
      <c r="C396" s="32">
        <v>42863</v>
      </c>
      <c r="D396" s="20" t="s">
        <v>256</v>
      </c>
      <c r="E396" s="20">
        <v>1</v>
      </c>
      <c r="F396" s="20">
        <v>1</v>
      </c>
      <c r="G396" s="20">
        <v>1</v>
      </c>
      <c r="H396" s="20">
        <v>2</v>
      </c>
      <c r="I396" s="20">
        <v>3</v>
      </c>
      <c r="J396" s="20">
        <v>3</v>
      </c>
      <c r="K396" s="20">
        <v>3</v>
      </c>
      <c r="L396" s="20">
        <v>3</v>
      </c>
      <c r="M396" s="20">
        <v>3</v>
      </c>
      <c r="N396" s="20">
        <v>3</v>
      </c>
      <c r="O396" s="20">
        <v>3</v>
      </c>
      <c r="Q396">
        <f t="shared" si="6"/>
        <v>25</v>
      </c>
    </row>
    <row r="397" spans="1:17" x14ac:dyDescent="0.3">
      <c r="A397" s="20" t="s">
        <v>89</v>
      </c>
      <c r="B397" s="20">
        <v>344308</v>
      </c>
      <c r="C397" s="32">
        <v>42863</v>
      </c>
      <c r="D397" s="20" t="s">
        <v>258</v>
      </c>
      <c r="E397" s="20">
        <v>3</v>
      </c>
      <c r="F397" s="20">
        <v>3</v>
      </c>
      <c r="G397" s="20">
        <v>4</v>
      </c>
      <c r="H397" s="20">
        <v>5</v>
      </c>
      <c r="I397" s="20">
        <v>5</v>
      </c>
      <c r="J397" s="20">
        <v>5</v>
      </c>
      <c r="K397" s="20">
        <v>5</v>
      </c>
      <c r="L397" s="20">
        <v>5</v>
      </c>
      <c r="M397" s="20">
        <v>5</v>
      </c>
      <c r="N397" s="20">
        <v>5</v>
      </c>
      <c r="O397" s="20">
        <v>5</v>
      </c>
      <c r="Q397">
        <f t="shared" si="6"/>
        <v>47</v>
      </c>
    </row>
    <row r="398" spans="1:17" x14ac:dyDescent="0.3">
      <c r="A398" s="20" t="s">
        <v>89</v>
      </c>
      <c r="B398" s="20">
        <v>343404</v>
      </c>
      <c r="C398" s="32">
        <v>42863</v>
      </c>
      <c r="D398" s="20" t="s">
        <v>255</v>
      </c>
      <c r="E398" s="20">
        <v>10</v>
      </c>
      <c r="F398" s="20">
        <v>10</v>
      </c>
      <c r="G398" s="20">
        <v>12</v>
      </c>
      <c r="H398" s="20">
        <v>16</v>
      </c>
      <c r="I398" s="20">
        <v>19</v>
      </c>
      <c r="J398" s="20">
        <v>19</v>
      </c>
      <c r="K398" s="20">
        <v>19</v>
      </c>
      <c r="L398" s="20">
        <v>19</v>
      </c>
      <c r="M398" s="20">
        <v>19</v>
      </c>
      <c r="N398" s="20">
        <v>19</v>
      </c>
      <c r="O398" s="20">
        <v>19</v>
      </c>
      <c r="Q398">
        <f t="shared" si="6"/>
        <v>171</v>
      </c>
    </row>
    <row r="399" spans="1:17" x14ac:dyDescent="0.3">
      <c r="A399" s="20" t="s">
        <v>89</v>
      </c>
      <c r="B399" s="20">
        <v>343409</v>
      </c>
      <c r="C399" s="32">
        <v>42863</v>
      </c>
      <c r="D399" s="20" t="s">
        <v>258</v>
      </c>
      <c r="E399" s="20">
        <v>1</v>
      </c>
      <c r="F399" s="20">
        <v>2</v>
      </c>
      <c r="G399" s="20">
        <v>2</v>
      </c>
      <c r="H399" s="20">
        <v>2</v>
      </c>
      <c r="I399" s="20">
        <v>2</v>
      </c>
      <c r="J399" s="20">
        <v>2</v>
      </c>
      <c r="K399" s="20">
        <v>2</v>
      </c>
      <c r="L399" s="20">
        <v>2</v>
      </c>
      <c r="M399" s="20">
        <v>2</v>
      </c>
      <c r="N399" s="20">
        <v>2</v>
      </c>
      <c r="O399" s="20">
        <v>2</v>
      </c>
      <c r="Q399">
        <f t="shared" si="6"/>
        <v>20</v>
      </c>
    </row>
    <row r="400" spans="1:17" x14ac:dyDescent="0.3">
      <c r="A400" s="20" t="s">
        <v>89</v>
      </c>
      <c r="B400" s="20">
        <v>343991</v>
      </c>
      <c r="C400" s="32">
        <v>42863</v>
      </c>
      <c r="D400" s="20" t="s">
        <v>253</v>
      </c>
      <c r="E400" s="20">
        <v>13</v>
      </c>
      <c r="F400" s="20">
        <v>13</v>
      </c>
      <c r="G400" s="20">
        <v>14</v>
      </c>
      <c r="H400" s="20">
        <v>14</v>
      </c>
      <c r="I400" s="20">
        <v>14</v>
      </c>
      <c r="J400" s="20">
        <v>14</v>
      </c>
      <c r="K400" s="20">
        <v>14</v>
      </c>
      <c r="L400" s="20">
        <v>14</v>
      </c>
      <c r="M400" s="20">
        <v>14</v>
      </c>
      <c r="N400" s="20">
        <v>14</v>
      </c>
      <c r="O400" s="20">
        <v>14</v>
      </c>
      <c r="Q400">
        <f t="shared" si="6"/>
        <v>139</v>
      </c>
    </row>
    <row r="401" spans="1:17" x14ac:dyDescent="0.3">
      <c r="A401" s="20" t="s">
        <v>89</v>
      </c>
      <c r="B401" s="20">
        <v>343462</v>
      </c>
      <c r="C401" s="32">
        <v>42863</v>
      </c>
      <c r="D401" s="20" t="s">
        <v>255</v>
      </c>
      <c r="E401" s="20">
        <v>17</v>
      </c>
      <c r="F401" s="20">
        <v>17</v>
      </c>
      <c r="G401" s="20">
        <v>17</v>
      </c>
      <c r="H401" s="20">
        <v>18</v>
      </c>
      <c r="I401" s="20">
        <v>18</v>
      </c>
      <c r="J401" s="20">
        <v>19</v>
      </c>
      <c r="K401" s="20">
        <v>21</v>
      </c>
      <c r="L401" s="20">
        <v>25</v>
      </c>
      <c r="M401" s="20">
        <v>29</v>
      </c>
      <c r="N401" s="20">
        <v>29</v>
      </c>
      <c r="O401" s="20">
        <v>29</v>
      </c>
      <c r="Q401">
        <f t="shared" si="6"/>
        <v>222</v>
      </c>
    </row>
    <row r="402" spans="1:17" x14ac:dyDescent="0.3">
      <c r="A402" s="20" t="s">
        <v>89</v>
      </c>
      <c r="B402" s="20">
        <v>344025</v>
      </c>
      <c r="C402" s="32">
        <v>42863</v>
      </c>
      <c r="D402" s="20" t="s">
        <v>255</v>
      </c>
      <c r="E402" s="20">
        <v>20</v>
      </c>
      <c r="F402" s="20">
        <v>20</v>
      </c>
      <c r="G402" s="20">
        <v>21</v>
      </c>
      <c r="H402" s="20">
        <v>25</v>
      </c>
      <c r="I402" s="20">
        <v>27</v>
      </c>
      <c r="J402" s="20">
        <v>27</v>
      </c>
      <c r="K402" s="20">
        <v>27</v>
      </c>
      <c r="L402" s="20">
        <v>27</v>
      </c>
      <c r="M402" s="20">
        <v>27</v>
      </c>
      <c r="N402" s="20">
        <v>27</v>
      </c>
      <c r="O402" s="20">
        <v>27</v>
      </c>
      <c r="Q402">
        <f t="shared" si="6"/>
        <v>255</v>
      </c>
    </row>
    <row r="403" spans="1:17" x14ac:dyDescent="0.3">
      <c r="A403" s="20" t="s">
        <v>89</v>
      </c>
      <c r="B403" s="20">
        <v>343104</v>
      </c>
      <c r="C403" s="32">
        <v>42863</v>
      </c>
      <c r="D403" s="20" t="s">
        <v>253</v>
      </c>
      <c r="E403" s="20">
        <v>72</v>
      </c>
      <c r="F403" s="20">
        <v>72</v>
      </c>
      <c r="G403" s="20">
        <v>76</v>
      </c>
      <c r="H403" s="20">
        <v>90</v>
      </c>
      <c r="I403" s="20">
        <v>107</v>
      </c>
      <c r="J403" s="20">
        <v>121</v>
      </c>
      <c r="K403" s="20">
        <v>128</v>
      </c>
      <c r="L403" s="20">
        <v>128</v>
      </c>
      <c r="M403" s="20">
        <v>128</v>
      </c>
      <c r="N403" s="20">
        <v>128</v>
      </c>
      <c r="O403" s="20">
        <v>128</v>
      </c>
      <c r="Q403">
        <f t="shared" si="6"/>
        <v>1106</v>
      </c>
    </row>
    <row r="404" spans="1:17" x14ac:dyDescent="0.3">
      <c r="A404" s="20" t="s">
        <v>89</v>
      </c>
      <c r="B404" s="20">
        <v>343105</v>
      </c>
      <c r="C404" s="32">
        <v>42863</v>
      </c>
      <c r="D404" s="20" t="s">
        <v>255</v>
      </c>
      <c r="E404" s="20">
        <v>9</v>
      </c>
      <c r="F404" s="20">
        <v>9</v>
      </c>
      <c r="G404" s="20">
        <v>11</v>
      </c>
      <c r="H404" s="20">
        <v>16</v>
      </c>
      <c r="I404" s="20">
        <v>26</v>
      </c>
      <c r="J404" s="20">
        <v>31</v>
      </c>
      <c r="K404" s="20">
        <v>34</v>
      </c>
      <c r="L404" s="20">
        <v>36</v>
      </c>
      <c r="M404" s="20">
        <v>36</v>
      </c>
      <c r="N404" s="20">
        <v>36</v>
      </c>
      <c r="O404" s="20">
        <v>36</v>
      </c>
      <c r="Q404">
        <f t="shared" si="6"/>
        <v>271</v>
      </c>
    </row>
    <row r="405" spans="1:17" x14ac:dyDescent="0.3">
      <c r="A405" s="20" t="s">
        <v>89</v>
      </c>
      <c r="B405" s="20">
        <v>343108</v>
      </c>
      <c r="C405" s="32">
        <v>42863</v>
      </c>
      <c r="D405" s="20" t="s">
        <v>260</v>
      </c>
      <c r="E405" s="20">
        <v>1</v>
      </c>
      <c r="F405" s="20">
        <v>1</v>
      </c>
      <c r="G405" s="20">
        <v>2</v>
      </c>
      <c r="H405" s="20">
        <v>2</v>
      </c>
      <c r="I405" s="20">
        <v>2</v>
      </c>
      <c r="J405" s="20">
        <v>2</v>
      </c>
      <c r="K405" s="20">
        <v>2</v>
      </c>
      <c r="L405" s="20">
        <v>2</v>
      </c>
      <c r="M405" s="20">
        <v>2</v>
      </c>
      <c r="N405" s="20">
        <v>2</v>
      </c>
      <c r="O405" s="20">
        <v>2</v>
      </c>
      <c r="Q405">
        <f t="shared" si="6"/>
        <v>19</v>
      </c>
    </row>
    <row r="406" spans="1:17" x14ac:dyDescent="0.3">
      <c r="A406" s="20" t="s">
        <v>89</v>
      </c>
      <c r="B406" s="20">
        <v>343682</v>
      </c>
      <c r="C406" s="32">
        <v>42863</v>
      </c>
      <c r="D406" s="20" t="s">
        <v>255</v>
      </c>
      <c r="E406" s="20">
        <v>18</v>
      </c>
      <c r="F406" s="20">
        <v>18</v>
      </c>
      <c r="G406" s="20">
        <v>20</v>
      </c>
      <c r="H406" s="20">
        <v>21</v>
      </c>
      <c r="I406" s="20">
        <v>23</v>
      </c>
      <c r="J406" s="20">
        <v>26</v>
      </c>
      <c r="K406" s="20">
        <v>26</v>
      </c>
      <c r="L406" s="20">
        <v>26</v>
      </c>
      <c r="M406" s="20">
        <v>26</v>
      </c>
      <c r="N406" s="20">
        <v>26</v>
      </c>
      <c r="O406" s="20">
        <v>26</v>
      </c>
      <c r="Q406">
        <f t="shared" si="6"/>
        <v>238</v>
      </c>
    </row>
    <row r="407" spans="1:17" x14ac:dyDescent="0.3">
      <c r="A407" s="20" t="s">
        <v>89</v>
      </c>
      <c r="B407" s="20">
        <v>343684</v>
      </c>
      <c r="C407" s="32">
        <v>42863</v>
      </c>
      <c r="D407" s="20" t="s">
        <v>260</v>
      </c>
      <c r="E407" s="20">
        <v>1</v>
      </c>
      <c r="F407" s="20">
        <v>1</v>
      </c>
      <c r="G407" s="20">
        <v>1</v>
      </c>
      <c r="H407" s="20">
        <v>2</v>
      </c>
      <c r="I407" s="20">
        <v>2</v>
      </c>
      <c r="J407" s="20">
        <v>2</v>
      </c>
      <c r="K407" s="20">
        <v>2</v>
      </c>
      <c r="L407" s="20">
        <v>2</v>
      </c>
      <c r="M407" s="20">
        <v>2</v>
      </c>
      <c r="N407" s="20">
        <v>2</v>
      </c>
      <c r="O407" s="20">
        <v>2</v>
      </c>
      <c r="Q407">
        <f t="shared" si="6"/>
        <v>18</v>
      </c>
    </row>
    <row r="408" spans="1:17" x14ac:dyDescent="0.3">
      <c r="A408" s="20" t="s">
        <v>89</v>
      </c>
      <c r="B408" s="20">
        <v>343171</v>
      </c>
      <c r="C408" s="32">
        <v>42863</v>
      </c>
      <c r="D408" s="20" t="s">
        <v>253</v>
      </c>
      <c r="E408" s="20">
        <v>72</v>
      </c>
      <c r="F408" s="20">
        <v>72</v>
      </c>
      <c r="G408" s="20">
        <v>109</v>
      </c>
      <c r="H408" s="20">
        <v>133</v>
      </c>
      <c r="I408" s="20">
        <v>135</v>
      </c>
      <c r="J408" s="20">
        <v>135</v>
      </c>
      <c r="K408" s="20">
        <v>135</v>
      </c>
      <c r="L408" s="20">
        <v>135</v>
      </c>
      <c r="M408" s="20">
        <v>135</v>
      </c>
      <c r="N408" s="20">
        <v>135</v>
      </c>
      <c r="O408" s="20">
        <v>135</v>
      </c>
      <c r="Q408">
        <f t="shared" si="6"/>
        <v>1259</v>
      </c>
    </row>
    <row r="409" spans="1:17" x14ac:dyDescent="0.3">
      <c r="A409" s="20" t="s">
        <v>89</v>
      </c>
      <c r="B409" s="20">
        <v>343172</v>
      </c>
      <c r="C409" s="32">
        <v>42863</v>
      </c>
      <c r="D409" s="20" t="s">
        <v>255</v>
      </c>
      <c r="E409" s="20">
        <v>4</v>
      </c>
      <c r="F409" s="20">
        <v>4</v>
      </c>
      <c r="G409" s="20">
        <v>5</v>
      </c>
      <c r="H409" s="20">
        <v>14</v>
      </c>
      <c r="I409" s="20">
        <v>29</v>
      </c>
      <c r="J409" s="20">
        <v>34</v>
      </c>
      <c r="K409" s="20">
        <v>35</v>
      </c>
      <c r="L409" s="20">
        <v>35</v>
      </c>
      <c r="M409" s="20">
        <v>35</v>
      </c>
      <c r="N409" s="20">
        <v>35</v>
      </c>
      <c r="O409" s="20">
        <v>35</v>
      </c>
      <c r="Q409">
        <f t="shared" si="6"/>
        <v>261</v>
      </c>
    </row>
    <row r="410" spans="1:17" x14ac:dyDescent="0.3">
      <c r="A410" s="20" t="s">
        <v>89</v>
      </c>
      <c r="B410" s="20">
        <v>342671</v>
      </c>
      <c r="C410" s="32">
        <v>42863</v>
      </c>
      <c r="D410" s="20" t="s">
        <v>255</v>
      </c>
      <c r="E410" s="20">
        <v>18</v>
      </c>
      <c r="F410" s="20">
        <v>18</v>
      </c>
      <c r="G410" s="20">
        <v>18</v>
      </c>
      <c r="H410" s="20">
        <v>22</v>
      </c>
      <c r="I410" s="20">
        <v>27</v>
      </c>
      <c r="J410" s="20">
        <v>40</v>
      </c>
      <c r="K410" s="20">
        <v>44</v>
      </c>
      <c r="L410" s="20">
        <v>44</v>
      </c>
      <c r="M410" s="20">
        <v>44</v>
      </c>
      <c r="N410" s="20">
        <v>44</v>
      </c>
      <c r="O410" s="20">
        <v>44</v>
      </c>
      <c r="Q410">
        <f t="shared" si="6"/>
        <v>345</v>
      </c>
    </row>
    <row r="411" spans="1:17" x14ac:dyDescent="0.3">
      <c r="A411" s="20" t="s">
        <v>89</v>
      </c>
      <c r="B411" s="20">
        <v>343202</v>
      </c>
      <c r="C411" s="32">
        <v>42863</v>
      </c>
      <c r="D411" s="20" t="s">
        <v>253</v>
      </c>
      <c r="E411" s="20">
        <v>128</v>
      </c>
      <c r="F411" s="20">
        <v>128</v>
      </c>
      <c r="G411" s="20">
        <v>137</v>
      </c>
      <c r="H411" s="20">
        <v>140</v>
      </c>
      <c r="I411" s="20">
        <v>140</v>
      </c>
      <c r="J411" s="20">
        <v>140</v>
      </c>
      <c r="K411" s="20">
        <v>140</v>
      </c>
      <c r="L411" s="20">
        <v>140</v>
      </c>
      <c r="M411" s="20">
        <v>140</v>
      </c>
      <c r="N411" s="20">
        <v>140</v>
      </c>
      <c r="O411" s="20">
        <v>140</v>
      </c>
      <c r="Q411">
        <f t="shared" si="6"/>
        <v>1385</v>
      </c>
    </row>
    <row r="412" spans="1:17" x14ac:dyDescent="0.3">
      <c r="A412" s="20" t="s">
        <v>89</v>
      </c>
      <c r="B412" s="20">
        <v>343203</v>
      </c>
      <c r="C412" s="32">
        <v>42863</v>
      </c>
      <c r="D412" s="20" t="s">
        <v>255</v>
      </c>
      <c r="E412" s="20">
        <v>9</v>
      </c>
      <c r="F412" s="20">
        <v>9</v>
      </c>
      <c r="G412" s="20">
        <v>10</v>
      </c>
      <c r="H412" s="20">
        <v>13</v>
      </c>
      <c r="I412" s="20">
        <v>16</v>
      </c>
      <c r="J412" s="20">
        <v>20</v>
      </c>
      <c r="K412" s="20">
        <v>21</v>
      </c>
      <c r="L412" s="20">
        <v>25</v>
      </c>
      <c r="M412" s="20">
        <v>25</v>
      </c>
      <c r="N412" s="20">
        <v>27</v>
      </c>
      <c r="O412" s="20">
        <v>27</v>
      </c>
      <c r="Q412">
        <f t="shared" si="6"/>
        <v>193</v>
      </c>
    </row>
    <row r="413" spans="1:17" x14ac:dyDescent="0.3">
      <c r="A413" s="20" t="s">
        <v>89</v>
      </c>
      <c r="B413" s="20">
        <v>343209</v>
      </c>
      <c r="C413" s="32">
        <v>42863</v>
      </c>
      <c r="D413" s="20" t="s">
        <v>258</v>
      </c>
      <c r="E413" s="20">
        <v>1</v>
      </c>
      <c r="F413" s="20">
        <v>1</v>
      </c>
      <c r="G413" s="20">
        <v>1</v>
      </c>
      <c r="H413" s="20">
        <v>3</v>
      </c>
      <c r="I413" s="20">
        <v>4</v>
      </c>
      <c r="J413" s="20">
        <v>4</v>
      </c>
      <c r="K413" s="20">
        <v>4</v>
      </c>
      <c r="L413" s="20">
        <v>4</v>
      </c>
      <c r="M413" s="20">
        <v>4</v>
      </c>
      <c r="N413" s="20">
        <v>4</v>
      </c>
      <c r="O413" s="20">
        <v>4</v>
      </c>
      <c r="Q413">
        <f t="shared" si="6"/>
        <v>33</v>
      </c>
    </row>
    <row r="414" spans="1:17" x14ac:dyDescent="0.3">
      <c r="A414" s="20" t="s">
        <v>89</v>
      </c>
      <c r="B414" s="20">
        <v>343275</v>
      </c>
      <c r="C414" s="32">
        <v>42863</v>
      </c>
      <c r="D414" s="20" t="s">
        <v>253</v>
      </c>
      <c r="E414" s="20">
        <v>111</v>
      </c>
      <c r="F414" s="20">
        <v>111</v>
      </c>
      <c r="G414" s="20">
        <v>118</v>
      </c>
      <c r="H414" s="20">
        <v>142</v>
      </c>
      <c r="I414" s="20">
        <v>153</v>
      </c>
      <c r="J414" s="20">
        <v>153</v>
      </c>
      <c r="K414" s="20">
        <v>153</v>
      </c>
      <c r="L414" s="20">
        <v>153</v>
      </c>
      <c r="M414" s="20">
        <v>153</v>
      </c>
      <c r="N414" s="20">
        <v>153</v>
      </c>
      <c r="O414" s="20">
        <v>153</v>
      </c>
      <c r="Q414">
        <f t="shared" si="6"/>
        <v>1442</v>
      </c>
    </row>
    <row r="415" spans="1:17" x14ac:dyDescent="0.3">
      <c r="A415" s="20" t="s">
        <v>89</v>
      </c>
      <c r="B415" s="20">
        <v>346493</v>
      </c>
      <c r="C415" s="32">
        <v>42863</v>
      </c>
      <c r="D415" s="20" t="s">
        <v>255</v>
      </c>
      <c r="E415" s="20">
        <v>2</v>
      </c>
      <c r="F415" s="20">
        <v>2</v>
      </c>
      <c r="G415" s="20">
        <v>2</v>
      </c>
      <c r="H415" s="20">
        <v>8</v>
      </c>
      <c r="I415" s="20">
        <v>9</v>
      </c>
      <c r="J415" s="20">
        <v>12</v>
      </c>
      <c r="K415" s="20">
        <v>15</v>
      </c>
      <c r="L415" s="20">
        <v>15</v>
      </c>
      <c r="M415" s="20">
        <v>17</v>
      </c>
      <c r="N415" s="20">
        <v>17</v>
      </c>
      <c r="O415" s="20">
        <v>20</v>
      </c>
      <c r="Q415">
        <f t="shared" si="6"/>
        <v>117</v>
      </c>
    </row>
    <row r="416" spans="1:17" x14ac:dyDescent="0.3">
      <c r="A416" s="20" t="s">
        <v>89</v>
      </c>
      <c r="B416" s="20">
        <v>346755</v>
      </c>
      <c r="C416" s="32">
        <v>42863</v>
      </c>
      <c r="D416" s="20" t="s">
        <v>258</v>
      </c>
      <c r="E416" s="20">
        <v>1</v>
      </c>
      <c r="F416" s="20">
        <v>1</v>
      </c>
      <c r="G416" s="20">
        <v>1</v>
      </c>
      <c r="H416" s="20">
        <v>2</v>
      </c>
      <c r="I416" s="20">
        <v>2</v>
      </c>
      <c r="J416" s="20">
        <v>3</v>
      </c>
      <c r="K416" s="20">
        <v>5</v>
      </c>
      <c r="L416" s="20">
        <v>5</v>
      </c>
      <c r="M416" s="20">
        <v>5</v>
      </c>
      <c r="N416" s="20">
        <v>5</v>
      </c>
      <c r="O416" s="20">
        <v>5</v>
      </c>
      <c r="Q416">
        <f t="shared" si="6"/>
        <v>34</v>
      </c>
    </row>
    <row r="417" spans="1:17" x14ac:dyDescent="0.3">
      <c r="A417" s="20" t="s">
        <v>89</v>
      </c>
      <c r="B417" s="20">
        <v>346783</v>
      </c>
      <c r="C417" s="32">
        <v>42863</v>
      </c>
      <c r="D417" s="20" t="s">
        <v>255</v>
      </c>
      <c r="E417" s="20">
        <v>3</v>
      </c>
      <c r="F417" s="20">
        <v>3</v>
      </c>
      <c r="G417" s="20">
        <v>6</v>
      </c>
      <c r="H417" s="20">
        <v>12</v>
      </c>
      <c r="I417" s="20">
        <v>18</v>
      </c>
      <c r="J417" s="20">
        <v>21</v>
      </c>
      <c r="K417" s="20">
        <v>27</v>
      </c>
      <c r="L417" s="20">
        <v>27</v>
      </c>
      <c r="M417" s="20">
        <v>27</v>
      </c>
      <c r="N417" s="20">
        <v>27</v>
      </c>
      <c r="O417" s="20">
        <v>27</v>
      </c>
      <c r="Q417">
        <f t="shared" si="6"/>
        <v>195</v>
      </c>
    </row>
    <row r="418" spans="1:17" x14ac:dyDescent="0.3">
      <c r="A418" s="20" t="s">
        <v>89</v>
      </c>
      <c r="B418" s="20">
        <v>346273</v>
      </c>
      <c r="C418" s="32">
        <v>42863</v>
      </c>
      <c r="D418" s="20" t="s">
        <v>256</v>
      </c>
      <c r="E418" s="20">
        <v>1</v>
      </c>
      <c r="F418" s="20">
        <v>1</v>
      </c>
      <c r="G418" s="20">
        <v>1</v>
      </c>
      <c r="H418" s="20">
        <v>2</v>
      </c>
      <c r="I418" s="20">
        <v>2</v>
      </c>
      <c r="J418" s="20">
        <v>2</v>
      </c>
      <c r="K418" s="20">
        <v>2</v>
      </c>
      <c r="L418" s="20">
        <v>2</v>
      </c>
      <c r="M418" s="20">
        <v>2</v>
      </c>
      <c r="N418" s="20">
        <v>2</v>
      </c>
      <c r="O418" s="20">
        <v>2</v>
      </c>
      <c r="Q418">
        <f t="shared" si="6"/>
        <v>18</v>
      </c>
    </row>
    <row r="419" spans="1:17" x14ac:dyDescent="0.3">
      <c r="A419" s="20" t="s">
        <v>89</v>
      </c>
      <c r="B419" s="20">
        <v>329379</v>
      </c>
      <c r="C419" s="32">
        <v>42860</v>
      </c>
      <c r="D419" s="20" t="s">
        <v>255</v>
      </c>
      <c r="E419" s="20">
        <v>18</v>
      </c>
      <c r="F419" s="20">
        <v>18</v>
      </c>
      <c r="G419" s="20">
        <v>21</v>
      </c>
      <c r="H419" s="20">
        <v>23</v>
      </c>
      <c r="I419" s="20">
        <v>24</v>
      </c>
      <c r="J419" s="20">
        <v>25</v>
      </c>
      <c r="K419" s="20">
        <v>25</v>
      </c>
      <c r="L419" s="20">
        <v>25</v>
      </c>
      <c r="M419" s="20">
        <v>25</v>
      </c>
      <c r="N419" s="20">
        <v>25</v>
      </c>
      <c r="O419" s="20">
        <v>25</v>
      </c>
      <c r="Q419">
        <f t="shared" si="6"/>
        <v>236</v>
      </c>
    </row>
    <row r="420" spans="1:17" x14ac:dyDescent="0.3">
      <c r="A420" s="20" t="s">
        <v>89</v>
      </c>
      <c r="B420" s="20">
        <v>328004</v>
      </c>
      <c r="C420" s="32">
        <v>42860</v>
      </c>
      <c r="D420" s="20" t="s">
        <v>253</v>
      </c>
      <c r="E420" s="20">
        <v>122</v>
      </c>
      <c r="F420" s="20">
        <v>122</v>
      </c>
      <c r="G420" s="20">
        <v>122</v>
      </c>
      <c r="H420" s="20">
        <v>123</v>
      </c>
      <c r="I420" s="20">
        <v>123</v>
      </c>
      <c r="J420" s="20">
        <v>123</v>
      </c>
      <c r="K420" s="20">
        <v>123</v>
      </c>
      <c r="L420" s="20">
        <v>123</v>
      </c>
      <c r="M420" s="20">
        <v>123</v>
      </c>
      <c r="N420" s="20">
        <v>123</v>
      </c>
      <c r="O420" s="20">
        <v>123</v>
      </c>
      <c r="Q420">
        <f t="shared" si="6"/>
        <v>1228</v>
      </c>
    </row>
    <row r="421" spans="1:17" x14ac:dyDescent="0.3">
      <c r="A421" s="20" t="s">
        <v>89</v>
      </c>
      <c r="B421" s="20">
        <v>329862</v>
      </c>
      <c r="C421" s="32">
        <v>42860</v>
      </c>
      <c r="D421" s="20" t="s">
        <v>256</v>
      </c>
      <c r="E421" s="20">
        <v>1</v>
      </c>
      <c r="F421" s="20">
        <v>1</v>
      </c>
      <c r="G421" s="20">
        <v>2</v>
      </c>
      <c r="H421" s="20">
        <v>2</v>
      </c>
      <c r="I421" s="20">
        <v>2</v>
      </c>
      <c r="J421" s="20">
        <v>3</v>
      </c>
      <c r="K421" s="20">
        <v>3</v>
      </c>
      <c r="L421" s="20">
        <v>3</v>
      </c>
      <c r="M421" s="20">
        <v>3</v>
      </c>
      <c r="N421" s="20">
        <v>3</v>
      </c>
      <c r="O421" s="20">
        <v>3</v>
      </c>
      <c r="Q421">
        <f t="shared" si="6"/>
        <v>25</v>
      </c>
    </row>
    <row r="422" spans="1:17" x14ac:dyDescent="0.3">
      <c r="A422" s="20" t="s">
        <v>89</v>
      </c>
      <c r="B422" s="20">
        <v>329863</v>
      </c>
      <c r="C422" s="32">
        <v>42860</v>
      </c>
      <c r="D422" s="20" t="s">
        <v>255</v>
      </c>
      <c r="E422" s="20">
        <v>2</v>
      </c>
      <c r="F422" s="20">
        <v>2</v>
      </c>
      <c r="G422" s="20">
        <v>5</v>
      </c>
      <c r="H422" s="20">
        <v>10</v>
      </c>
      <c r="I422" s="20">
        <v>18</v>
      </c>
      <c r="J422" s="20">
        <v>24</v>
      </c>
      <c r="K422" s="20">
        <v>27</v>
      </c>
      <c r="L422" s="20">
        <v>29</v>
      </c>
      <c r="M422" s="20">
        <v>31</v>
      </c>
      <c r="N422" s="20">
        <v>31</v>
      </c>
      <c r="O422" s="20">
        <v>31</v>
      </c>
      <c r="Q422">
        <f t="shared" si="6"/>
        <v>208</v>
      </c>
    </row>
    <row r="423" spans="1:17" x14ac:dyDescent="0.3">
      <c r="A423" s="20" t="s">
        <v>89</v>
      </c>
      <c r="B423" s="20">
        <v>332087</v>
      </c>
      <c r="C423" s="32">
        <v>42860</v>
      </c>
      <c r="D423" s="20" t="s">
        <v>255</v>
      </c>
      <c r="E423" s="20">
        <v>6</v>
      </c>
      <c r="F423" s="20">
        <v>6</v>
      </c>
      <c r="G423" s="20">
        <v>6</v>
      </c>
      <c r="H423" s="20">
        <v>16</v>
      </c>
      <c r="I423" s="20">
        <v>16</v>
      </c>
      <c r="J423" s="20">
        <v>16</v>
      </c>
      <c r="K423" s="20">
        <v>17</v>
      </c>
      <c r="L423" s="20">
        <v>18</v>
      </c>
      <c r="M423" s="20">
        <v>19</v>
      </c>
      <c r="N423" s="20">
        <v>19</v>
      </c>
      <c r="O423" s="20">
        <v>20</v>
      </c>
      <c r="Q423">
        <f t="shared" si="6"/>
        <v>153</v>
      </c>
    </row>
    <row r="424" spans="1:17" x14ac:dyDescent="0.3">
      <c r="A424" s="20" t="s">
        <v>89</v>
      </c>
      <c r="B424" s="20">
        <v>332605</v>
      </c>
      <c r="C424" s="32">
        <v>42860</v>
      </c>
      <c r="D424" s="20" t="s">
        <v>255</v>
      </c>
      <c r="E424" s="20">
        <v>4</v>
      </c>
      <c r="F424" s="20">
        <v>4</v>
      </c>
      <c r="G424" s="20">
        <v>9</v>
      </c>
      <c r="H424" s="20">
        <v>11</v>
      </c>
      <c r="I424" s="20">
        <v>12</v>
      </c>
      <c r="J424" s="20">
        <v>12</v>
      </c>
      <c r="K424" s="20">
        <v>12</v>
      </c>
      <c r="L424" s="20">
        <v>12</v>
      </c>
      <c r="M424" s="20">
        <v>12</v>
      </c>
      <c r="N424" s="20">
        <v>12</v>
      </c>
      <c r="O424" s="20">
        <v>12</v>
      </c>
      <c r="Q424">
        <f t="shared" si="6"/>
        <v>108</v>
      </c>
    </row>
    <row r="425" spans="1:17" x14ac:dyDescent="0.3">
      <c r="A425" s="20" t="s">
        <v>89</v>
      </c>
      <c r="B425" s="20">
        <v>332109</v>
      </c>
      <c r="C425" s="32">
        <v>42860</v>
      </c>
      <c r="D425" s="20" t="s">
        <v>255</v>
      </c>
      <c r="E425" s="20">
        <v>2</v>
      </c>
      <c r="F425" s="20">
        <v>2</v>
      </c>
      <c r="G425" s="20">
        <v>3</v>
      </c>
      <c r="H425" s="20">
        <v>6</v>
      </c>
      <c r="I425" s="20">
        <v>12</v>
      </c>
      <c r="J425" s="20">
        <v>18</v>
      </c>
      <c r="K425" s="20">
        <v>18</v>
      </c>
      <c r="L425" s="20">
        <v>18</v>
      </c>
      <c r="M425" s="20">
        <v>21</v>
      </c>
      <c r="N425" s="20">
        <v>22</v>
      </c>
      <c r="O425" s="20">
        <v>26</v>
      </c>
      <c r="Q425">
        <f t="shared" si="6"/>
        <v>146</v>
      </c>
    </row>
    <row r="426" spans="1:17" x14ac:dyDescent="0.3">
      <c r="A426" s="20" t="s">
        <v>89</v>
      </c>
      <c r="B426" s="20">
        <v>333254</v>
      </c>
      <c r="C426" s="32">
        <v>42860</v>
      </c>
      <c r="D426" s="20" t="s">
        <v>258</v>
      </c>
      <c r="E426" s="20">
        <v>1</v>
      </c>
      <c r="F426" s="20">
        <v>1</v>
      </c>
      <c r="G426" s="20">
        <v>2</v>
      </c>
      <c r="H426" s="20">
        <v>4</v>
      </c>
      <c r="I426" s="20">
        <v>5</v>
      </c>
      <c r="J426" s="20">
        <v>5</v>
      </c>
      <c r="K426" s="20">
        <v>5</v>
      </c>
      <c r="L426" s="20">
        <v>5</v>
      </c>
      <c r="M426" s="20">
        <v>5</v>
      </c>
      <c r="N426" s="20">
        <v>5</v>
      </c>
      <c r="O426" s="20">
        <v>5</v>
      </c>
      <c r="Q426">
        <f t="shared" si="6"/>
        <v>42</v>
      </c>
    </row>
    <row r="427" spans="1:17" x14ac:dyDescent="0.3">
      <c r="A427" s="20" t="s">
        <v>89</v>
      </c>
      <c r="B427" s="20">
        <v>333259</v>
      </c>
      <c r="C427" s="32">
        <v>42860</v>
      </c>
      <c r="D427" s="20" t="s">
        <v>255</v>
      </c>
      <c r="E427" s="20">
        <v>4</v>
      </c>
      <c r="F427" s="20">
        <v>4</v>
      </c>
      <c r="G427" s="20">
        <v>5</v>
      </c>
      <c r="H427" s="20">
        <v>12</v>
      </c>
      <c r="I427" s="20">
        <v>12</v>
      </c>
      <c r="J427" s="20">
        <v>12</v>
      </c>
      <c r="K427" s="20">
        <v>12</v>
      </c>
      <c r="L427" s="20">
        <v>12</v>
      </c>
      <c r="M427" s="20">
        <v>12</v>
      </c>
      <c r="N427" s="20">
        <v>12</v>
      </c>
      <c r="O427" s="20">
        <v>12</v>
      </c>
      <c r="Q427">
        <f t="shared" si="6"/>
        <v>105</v>
      </c>
    </row>
    <row r="428" spans="1:17" x14ac:dyDescent="0.3">
      <c r="A428" s="20" t="s">
        <v>89</v>
      </c>
      <c r="B428" s="20">
        <v>332257</v>
      </c>
      <c r="C428" s="32">
        <v>42860</v>
      </c>
      <c r="D428" s="20" t="s">
        <v>253</v>
      </c>
      <c r="E428" s="20">
        <v>49</v>
      </c>
      <c r="F428" s="20">
        <v>49</v>
      </c>
      <c r="G428" s="20">
        <v>56</v>
      </c>
      <c r="H428" s="20">
        <v>74</v>
      </c>
      <c r="I428" s="20">
        <v>89</v>
      </c>
      <c r="J428" s="20">
        <v>102</v>
      </c>
      <c r="K428" s="20">
        <v>102</v>
      </c>
      <c r="L428" s="20">
        <v>102</v>
      </c>
      <c r="M428" s="20">
        <v>102</v>
      </c>
      <c r="N428" s="20">
        <v>102</v>
      </c>
      <c r="O428" s="20">
        <v>102</v>
      </c>
      <c r="Q428">
        <f t="shared" si="6"/>
        <v>880</v>
      </c>
    </row>
    <row r="429" spans="1:17" x14ac:dyDescent="0.3">
      <c r="A429" s="20" t="s">
        <v>89</v>
      </c>
      <c r="B429" s="20">
        <v>332258</v>
      </c>
      <c r="C429" s="32">
        <v>42860</v>
      </c>
      <c r="D429" s="20" t="s">
        <v>255</v>
      </c>
      <c r="E429" s="20">
        <v>7</v>
      </c>
      <c r="F429" s="20">
        <v>7</v>
      </c>
      <c r="G429" s="20">
        <v>10</v>
      </c>
      <c r="H429" s="20">
        <v>19</v>
      </c>
      <c r="I429" s="20">
        <v>28</v>
      </c>
      <c r="J429" s="20">
        <v>29</v>
      </c>
      <c r="K429" s="20">
        <v>29</v>
      </c>
      <c r="L429" s="20">
        <v>29</v>
      </c>
      <c r="M429" s="20">
        <v>29</v>
      </c>
      <c r="N429" s="20">
        <v>29</v>
      </c>
      <c r="O429" s="20">
        <v>29</v>
      </c>
      <c r="Q429">
        <f t="shared" si="6"/>
        <v>238</v>
      </c>
    </row>
    <row r="430" spans="1:17" x14ac:dyDescent="0.3">
      <c r="A430" s="20" t="s">
        <v>89</v>
      </c>
      <c r="B430" s="20">
        <v>332297</v>
      </c>
      <c r="C430" s="32">
        <v>42860</v>
      </c>
      <c r="D430" s="20" t="s">
        <v>253</v>
      </c>
      <c r="E430" s="20">
        <v>47</v>
      </c>
      <c r="F430" s="20">
        <v>47</v>
      </c>
      <c r="G430" s="20">
        <v>51</v>
      </c>
      <c r="H430" s="20">
        <v>62</v>
      </c>
      <c r="I430" s="20">
        <v>77</v>
      </c>
      <c r="J430" s="20">
        <v>83</v>
      </c>
      <c r="K430" s="20">
        <v>84</v>
      </c>
      <c r="L430" s="20">
        <v>93</v>
      </c>
      <c r="M430" s="20">
        <v>104</v>
      </c>
      <c r="N430" s="20">
        <v>107</v>
      </c>
      <c r="O430" s="20">
        <v>107</v>
      </c>
      <c r="Q430">
        <f t="shared" si="6"/>
        <v>815</v>
      </c>
    </row>
    <row r="431" spans="1:17" x14ac:dyDescent="0.3">
      <c r="A431" s="20" t="s">
        <v>89</v>
      </c>
      <c r="B431" s="20">
        <v>332298</v>
      </c>
      <c r="C431" s="32">
        <v>42860</v>
      </c>
      <c r="D431" s="20" t="s">
        <v>255</v>
      </c>
      <c r="E431" s="20">
        <v>8</v>
      </c>
      <c r="F431" s="20">
        <v>8</v>
      </c>
      <c r="G431" s="20">
        <v>10</v>
      </c>
      <c r="H431" s="20">
        <v>12</v>
      </c>
      <c r="I431" s="20">
        <v>12</v>
      </c>
      <c r="J431" s="20">
        <v>13</v>
      </c>
      <c r="K431" s="20">
        <v>13</v>
      </c>
      <c r="L431" s="20">
        <v>13</v>
      </c>
      <c r="M431" s="20">
        <v>13</v>
      </c>
      <c r="N431" s="20">
        <v>13</v>
      </c>
      <c r="O431" s="20">
        <v>13</v>
      </c>
      <c r="Q431">
        <f t="shared" si="6"/>
        <v>120</v>
      </c>
    </row>
    <row r="432" spans="1:17" x14ac:dyDescent="0.3">
      <c r="A432" s="20" t="s">
        <v>89</v>
      </c>
      <c r="B432" s="20">
        <v>333288</v>
      </c>
      <c r="C432" s="32">
        <v>42860</v>
      </c>
      <c r="D432" s="20" t="s">
        <v>255</v>
      </c>
      <c r="E432" s="20">
        <v>5</v>
      </c>
      <c r="F432" s="20">
        <v>5</v>
      </c>
      <c r="G432" s="20">
        <v>9</v>
      </c>
      <c r="H432" s="20">
        <v>17</v>
      </c>
      <c r="I432" s="20">
        <v>17</v>
      </c>
      <c r="J432" s="20">
        <v>17</v>
      </c>
      <c r="K432" s="20">
        <v>17</v>
      </c>
      <c r="L432" s="20">
        <v>17</v>
      </c>
      <c r="M432" s="20">
        <v>17</v>
      </c>
      <c r="N432" s="20">
        <v>17</v>
      </c>
      <c r="O432" s="20">
        <v>17</v>
      </c>
      <c r="Q432">
        <f t="shared" si="6"/>
        <v>150</v>
      </c>
    </row>
    <row r="433" spans="1:17" x14ac:dyDescent="0.3">
      <c r="A433" s="20" t="s">
        <v>89</v>
      </c>
      <c r="B433" s="20">
        <v>333289</v>
      </c>
      <c r="C433" s="32">
        <v>42860</v>
      </c>
      <c r="D433" s="20" t="s">
        <v>253</v>
      </c>
      <c r="E433" s="20">
        <v>8</v>
      </c>
      <c r="F433" s="20">
        <v>8</v>
      </c>
      <c r="G433" s="20">
        <v>11</v>
      </c>
      <c r="H433" s="20">
        <v>17</v>
      </c>
      <c r="I433" s="20">
        <v>45</v>
      </c>
      <c r="J433" s="20">
        <v>56</v>
      </c>
      <c r="K433" s="20">
        <v>75</v>
      </c>
      <c r="L433" s="20">
        <v>81</v>
      </c>
      <c r="M433" s="20">
        <v>92</v>
      </c>
      <c r="N433" s="20">
        <v>97</v>
      </c>
      <c r="O433" s="20">
        <v>97</v>
      </c>
      <c r="Q433">
        <f t="shared" si="6"/>
        <v>579</v>
      </c>
    </row>
    <row r="434" spans="1:17" x14ac:dyDescent="0.3">
      <c r="A434" s="20" t="s">
        <v>89</v>
      </c>
      <c r="B434" s="20">
        <v>332405</v>
      </c>
      <c r="C434" s="32">
        <v>42860</v>
      </c>
      <c r="D434" s="20" t="s">
        <v>255</v>
      </c>
      <c r="E434" s="20">
        <v>18</v>
      </c>
      <c r="F434" s="20">
        <v>18</v>
      </c>
      <c r="G434" s="20">
        <v>20</v>
      </c>
      <c r="H434" s="20">
        <v>23</v>
      </c>
      <c r="I434" s="20">
        <v>23</v>
      </c>
      <c r="J434" s="20">
        <v>23</v>
      </c>
      <c r="K434" s="20">
        <v>23</v>
      </c>
      <c r="L434" s="20">
        <v>23</v>
      </c>
      <c r="M434" s="20">
        <v>23</v>
      </c>
      <c r="N434" s="20">
        <v>23</v>
      </c>
      <c r="O434" s="20">
        <v>23</v>
      </c>
      <c r="Q434">
        <f t="shared" si="6"/>
        <v>222</v>
      </c>
    </row>
    <row r="435" spans="1:17" x14ac:dyDescent="0.3">
      <c r="A435" s="20" t="s">
        <v>89</v>
      </c>
      <c r="B435" s="20">
        <v>333005</v>
      </c>
      <c r="C435" s="32">
        <v>42860</v>
      </c>
      <c r="D435" s="20" t="s">
        <v>255</v>
      </c>
      <c r="E435" s="20">
        <v>14</v>
      </c>
      <c r="F435" s="20">
        <v>14</v>
      </c>
      <c r="G435" s="20">
        <v>17</v>
      </c>
      <c r="H435" s="20">
        <v>18</v>
      </c>
      <c r="I435" s="20">
        <v>18</v>
      </c>
      <c r="J435" s="20">
        <v>18</v>
      </c>
      <c r="K435" s="20">
        <v>18</v>
      </c>
      <c r="L435" s="20">
        <v>18</v>
      </c>
      <c r="M435" s="20">
        <v>18</v>
      </c>
      <c r="N435" s="20">
        <v>18</v>
      </c>
      <c r="O435" s="20">
        <v>18</v>
      </c>
      <c r="Q435">
        <f t="shared" si="6"/>
        <v>175</v>
      </c>
    </row>
    <row r="436" spans="1:17" x14ac:dyDescent="0.3">
      <c r="A436" s="20" t="s">
        <v>89</v>
      </c>
      <c r="B436" s="20">
        <v>333585</v>
      </c>
      <c r="C436" s="32">
        <v>42860</v>
      </c>
      <c r="D436" s="20" t="s">
        <v>253</v>
      </c>
      <c r="E436" s="20">
        <v>110</v>
      </c>
      <c r="F436" s="20">
        <v>110</v>
      </c>
      <c r="G436" s="20">
        <v>114</v>
      </c>
      <c r="H436" s="20">
        <v>117</v>
      </c>
      <c r="I436" s="20">
        <v>117</v>
      </c>
      <c r="J436" s="20">
        <v>117</v>
      </c>
      <c r="K436" s="20">
        <v>117</v>
      </c>
      <c r="L436" s="20">
        <v>117</v>
      </c>
      <c r="M436" s="20">
        <v>117</v>
      </c>
      <c r="N436" s="20">
        <v>117</v>
      </c>
      <c r="O436" s="20">
        <v>117</v>
      </c>
      <c r="Q436">
        <f t="shared" si="6"/>
        <v>1160</v>
      </c>
    </row>
    <row r="437" spans="1:17" x14ac:dyDescent="0.3">
      <c r="A437" s="20" t="s">
        <v>89</v>
      </c>
      <c r="B437" s="20">
        <v>333586</v>
      </c>
      <c r="C437" s="32">
        <v>42860</v>
      </c>
      <c r="D437" s="20" t="s">
        <v>255</v>
      </c>
      <c r="E437" s="20">
        <v>8</v>
      </c>
      <c r="F437" s="20">
        <v>8</v>
      </c>
      <c r="G437" s="20">
        <v>8</v>
      </c>
      <c r="H437" s="20">
        <v>11</v>
      </c>
      <c r="I437" s="20">
        <v>12</v>
      </c>
      <c r="J437" s="20">
        <v>12</v>
      </c>
      <c r="K437" s="20">
        <v>12</v>
      </c>
      <c r="L437" s="20">
        <v>12</v>
      </c>
      <c r="M437" s="20">
        <v>12</v>
      </c>
      <c r="N437" s="20">
        <v>12</v>
      </c>
      <c r="O437" s="20">
        <v>12</v>
      </c>
      <c r="Q437">
        <f t="shared" si="6"/>
        <v>111</v>
      </c>
    </row>
    <row r="438" spans="1:17" x14ac:dyDescent="0.3">
      <c r="A438" s="20" t="s">
        <v>89</v>
      </c>
      <c r="B438" s="20">
        <v>333054</v>
      </c>
      <c r="C438" s="32">
        <v>42860</v>
      </c>
      <c r="D438" s="20" t="s">
        <v>258</v>
      </c>
      <c r="E438" s="20">
        <v>1</v>
      </c>
      <c r="F438" s="20">
        <v>1</v>
      </c>
      <c r="G438" s="20">
        <v>3</v>
      </c>
      <c r="H438" s="20">
        <v>3</v>
      </c>
      <c r="I438" s="20">
        <v>3</v>
      </c>
      <c r="J438" s="20">
        <v>3</v>
      </c>
      <c r="K438" s="20">
        <v>3</v>
      </c>
      <c r="L438" s="20">
        <v>3</v>
      </c>
      <c r="M438" s="20">
        <v>3</v>
      </c>
      <c r="N438" s="20">
        <v>3</v>
      </c>
      <c r="O438" s="20">
        <v>3</v>
      </c>
      <c r="Q438">
        <f t="shared" si="6"/>
        <v>28</v>
      </c>
    </row>
    <row r="439" spans="1:17" x14ac:dyDescent="0.3">
      <c r="A439" s="20" t="s">
        <v>89</v>
      </c>
      <c r="B439" s="20">
        <v>333344</v>
      </c>
      <c r="C439" s="32">
        <v>42860</v>
      </c>
      <c r="D439" s="20" t="s">
        <v>255</v>
      </c>
      <c r="E439" s="20">
        <v>7</v>
      </c>
      <c r="F439" s="20">
        <v>7</v>
      </c>
      <c r="G439" s="20">
        <v>9</v>
      </c>
      <c r="H439" s="20">
        <v>12</v>
      </c>
      <c r="I439" s="20">
        <v>16</v>
      </c>
      <c r="J439" s="20">
        <v>18</v>
      </c>
      <c r="K439" s="20">
        <v>18</v>
      </c>
      <c r="L439" s="20">
        <v>18</v>
      </c>
      <c r="M439" s="20">
        <v>18</v>
      </c>
      <c r="N439" s="20">
        <v>18</v>
      </c>
      <c r="O439" s="20">
        <v>18</v>
      </c>
      <c r="Q439">
        <f t="shared" si="6"/>
        <v>152</v>
      </c>
    </row>
    <row r="440" spans="1:17" x14ac:dyDescent="0.3">
      <c r="A440" s="20" t="s">
        <v>89</v>
      </c>
      <c r="B440" s="20">
        <v>334237</v>
      </c>
      <c r="C440" s="32">
        <v>42860</v>
      </c>
      <c r="D440" s="20" t="s">
        <v>255</v>
      </c>
      <c r="E440" s="20">
        <v>28</v>
      </c>
      <c r="F440" s="20">
        <v>28</v>
      </c>
      <c r="G440" s="20">
        <v>29</v>
      </c>
      <c r="H440" s="20">
        <v>29</v>
      </c>
      <c r="I440" s="20">
        <v>29</v>
      </c>
      <c r="J440" s="20">
        <v>29</v>
      </c>
      <c r="K440" s="20">
        <v>29</v>
      </c>
      <c r="L440" s="20">
        <v>29</v>
      </c>
      <c r="M440" s="20">
        <v>29</v>
      </c>
      <c r="N440" s="20">
        <v>29</v>
      </c>
      <c r="O440" s="20">
        <v>29</v>
      </c>
      <c r="Q440">
        <f t="shared" si="6"/>
        <v>289</v>
      </c>
    </row>
    <row r="441" spans="1:17" x14ac:dyDescent="0.3">
      <c r="A441" s="20" t="s">
        <v>89</v>
      </c>
      <c r="B441" s="20">
        <v>334781</v>
      </c>
      <c r="C441" s="32">
        <v>42860</v>
      </c>
      <c r="D441" s="20" t="s">
        <v>255</v>
      </c>
      <c r="E441" s="20">
        <v>3</v>
      </c>
      <c r="F441" s="20">
        <v>3</v>
      </c>
      <c r="G441" s="20">
        <v>4</v>
      </c>
      <c r="H441" s="20">
        <v>7</v>
      </c>
      <c r="I441" s="20">
        <v>8</v>
      </c>
      <c r="J441" s="20">
        <v>8</v>
      </c>
      <c r="K441" s="20">
        <v>8</v>
      </c>
      <c r="L441" s="20">
        <v>8</v>
      </c>
      <c r="M441" s="20">
        <v>8</v>
      </c>
      <c r="N441" s="20">
        <v>8</v>
      </c>
      <c r="O441" s="20">
        <v>12</v>
      </c>
      <c r="Q441">
        <f t="shared" si="6"/>
        <v>74</v>
      </c>
    </row>
    <row r="442" spans="1:17" x14ac:dyDescent="0.3">
      <c r="A442" s="20" t="s">
        <v>89</v>
      </c>
      <c r="B442" s="20">
        <v>334315</v>
      </c>
      <c r="C442" s="32">
        <v>42860</v>
      </c>
      <c r="D442" s="20" t="s">
        <v>255</v>
      </c>
      <c r="E442" s="20">
        <v>8</v>
      </c>
      <c r="F442" s="20">
        <v>8</v>
      </c>
      <c r="G442" s="20">
        <v>12</v>
      </c>
      <c r="H442" s="20">
        <v>18</v>
      </c>
      <c r="I442" s="20">
        <v>20</v>
      </c>
      <c r="J442" s="20">
        <v>21</v>
      </c>
      <c r="K442" s="20">
        <v>22</v>
      </c>
      <c r="L442" s="20">
        <v>23</v>
      </c>
      <c r="M442" s="20">
        <v>23</v>
      </c>
      <c r="N442" s="20">
        <v>23</v>
      </c>
      <c r="O442" s="20">
        <v>23</v>
      </c>
      <c r="Q442">
        <f t="shared" si="6"/>
        <v>193</v>
      </c>
    </row>
    <row r="443" spans="1:17" x14ac:dyDescent="0.3">
      <c r="A443" s="20" t="s">
        <v>89</v>
      </c>
      <c r="B443" s="20">
        <v>334316</v>
      </c>
      <c r="C443" s="32">
        <v>42860</v>
      </c>
      <c r="D443" s="20" t="s">
        <v>253</v>
      </c>
      <c r="E443" s="20">
        <v>62</v>
      </c>
      <c r="F443" s="20">
        <v>62</v>
      </c>
      <c r="G443" s="20">
        <v>69</v>
      </c>
      <c r="H443" s="20">
        <v>81</v>
      </c>
      <c r="I443" s="20">
        <v>87</v>
      </c>
      <c r="J443" s="20">
        <v>90</v>
      </c>
      <c r="K443" s="20">
        <v>103</v>
      </c>
      <c r="L443" s="20">
        <v>106</v>
      </c>
      <c r="M443" s="20">
        <v>106</v>
      </c>
      <c r="N443" s="20">
        <v>106</v>
      </c>
      <c r="O443" s="20">
        <v>106</v>
      </c>
      <c r="Q443">
        <f t="shared" si="6"/>
        <v>916</v>
      </c>
    </row>
    <row r="444" spans="1:17" x14ac:dyDescent="0.3">
      <c r="A444" s="20" t="s">
        <v>89</v>
      </c>
      <c r="B444" s="20">
        <v>335531</v>
      </c>
      <c r="C444" s="32">
        <v>42860</v>
      </c>
      <c r="D444" s="20" t="s">
        <v>255</v>
      </c>
      <c r="E444" s="20">
        <v>7</v>
      </c>
      <c r="F444" s="20">
        <v>7</v>
      </c>
      <c r="G444" s="20">
        <v>10</v>
      </c>
      <c r="H444" s="20">
        <v>14</v>
      </c>
      <c r="I444" s="20">
        <v>15</v>
      </c>
      <c r="J444" s="20">
        <v>17</v>
      </c>
      <c r="K444" s="20">
        <v>21</v>
      </c>
      <c r="L444" s="20">
        <v>24</v>
      </c>
      <c r="M444" s="20">
        <v>24</v>
      </c>
      <c r="N444" s="20">
        <v>24</v>
      </c>
      <c r="O444" s="20">
        <v>27</v>
      </c>
      <c r="Q444">
        <f t="shared" si="6"/>
        <v>183</v>
      </c>
    </row>
    <row r="445" spans="1:17" x14ac:dyDescent="0.3">
      <c r="A445" s="20" t="s">
        <v>89</v>
      </c>
      <c r="B445" s="20">
        <v>333854</v>
      </c>
      <c r="C445" s="32">
        <v>42860</v>
      </c>
      <c r="D445" s="20" t="s">
        <v>255</v>
      </c>
      <c r="E445" s="20">
        <v>4</v>
      </c>
      <c r="F445" s="20">
        <v>4</v>
      </c>
      <c r="G445" s="20">
        <v>6</v>
      </c>
      <c r="H445" s="20">
        <v>17</v>
      </c>
      <c r="I445" s="20">
        <v>19</v>
      </c>
      <c r="J445" s="20">
        <v>19</v>
      </c>
      <c r="K445" s="20">
        <v>19</v>
      </c>
      <c r="L445" s="20">
        <v>19</v>
      </c>
      <c r="M445" s="20">
        <v>19</v>
      </c>
      <c r="N445" s="20">
        <v>19</v>
      </c>
      <c r="O445" s="20">
        <v>19</v>
      </c>
      <c r="Q445">
        <f t="shared" si="6"/>
        <v>160</v>
      </c>
    </row>
    <row r="446" spans="1:17" x14ac:dyDescent="0.3">
      <c r="A446" s="20" t="s">
        <v>89</v>
      </c>
      <c r="B446" s="20">
        <v>333896</v>
      </c>
      <c r="C446" s="32">
        <v>42860</v>
      </c>
      <c r="D446" s="20" t="s">
        <v>253</v>
      </c>
      <c r="E446" s="20">
        <v>37</v>
      </c>
      <c r="F446" s="20">
        <v>37</v>
      </c>
      <c r="G446" s="20">
        <v>46</v>
      </c>
      <c r="H446" s="20">
        <v>71</v>
      </c>
      <c r="I446" s="20">
        <v>75</v>
      </c>
      <c r="J446" s="20">
        <v>77</v>
      </c>
      <c r="K446" s="20">
        <v>91</v>
      </c>
      <c r="L446" s="20">
        <v>92</v>
      </c>
      <c r="M446" s="20">
        <v>98</v>
      </c>
      <c r="N446" s="20">
        <v>98</v>
      </c>
      <c r="O446" s="20">
        <v>98</v>
      </c>
      <c r="Q446">
        <f t="shared" si="6"/>
        <v>783</v>
      </c>
    </row>
    <row r="447" spans="1:17" x14ac:dyDescent="0.3">
      <c r="A447" s="20" t="s">
        <v>89</v>
      </c>
      <c r="B447" s="20">
        <v>333897</v>
      </c>
      <c r="C447" s="32">
        <v>42860</v>
      </c>
      <c r="D447" s="20" t="s">
        <v>255</v>
      </c>
      <c r="E447" s="20">
        <v>7</v>
      </c>
      <c r="F447" s="20">
        <v>7</v>
      </c>
      <c r="G447" s="20">
        <v>10</v>
      </c>
      <c r="H447" s="20">
        <v>16</v>
      </c>
      <c r="I447" s="20">
        <v>20</v>
      </c>
      <c r="J447" s="20">
        <v>22</v>
      </c>
      <c r="K447" s="20">
        <v>22</v>
      </c>
      <c r="L447" s="20">
        <v>22</v>
      </c>
      <c r="M447" s="20">
        <v>22</v>
      </c>
      <c r="N447" s="20">
        <v>22</v>
      </c>
      <c r="O447" s="20">
        <v>23</v>
      </c>
      <c r="Q447">
        <f t="shared" si="6"/>
        <v>186</v>
      </c>
    </row>
    <row r="448" spans="1:17" x14ac:dyDescent="0.3">
      <c r="A448" s="20" t="s">
        <v>89</v>
      </c>
      <c r="B448" s="20">
        <v>335148</v>
      </c>
      <c r="C448" s="32">
        <v>42860</v>
      </c>
      <c r="D448" s="20" t="s">
        <v>253</v>
      </c>
      <c r="E448" s="20">
        <v>121</v>
      </c>
      <c r="F448" s="20">
        <v>121</v>
      </c>
      <c r="G448" s="20">
        <v>126</v>
      </c>
      <c r="H448" s="20">
        <v>131</v>
      </c>
      <c r="I448" s="20">
        <v>131</v>
      </c>
      <c r="J448" s="20">
        <v>131</v>
      </c>
      <c r="K448" s="20">
        <v>131</v>
      </c>
      <c r="L448" s="20">
        <v>131</v>
      </c>
      <c r="M448" s="20">
        <v>131</v>
      </c>
      <c r="N448" s="20">
        <v>131</v>
      </c>
      <c r="O448" s="20">
        <v>131</v>
      </c>
      <c r="Q448">
        <f t="shared" si="6"/>
        <v>1295</v>
      </c>
    </row>
    <row r="449" spans="1:17" x14ac:dyDescent="0.3">
      <c r="A449" s="20" t="s">
        <v>89</v>
      </c>
      <c r="B449" s="20">
        <v>335149</v>
      </c>
      <c r="C449" s="32">
        <v>42860</v>
      </c>
      <c r="D449" s="20" t="s">
        <v>255</v>
      </c>
      <c r="E449" s="20">
        <v>14</v>
      </c>
      <c r="F449" s="20">
        <v>14</v>
      </c>
      <c r="G449" s="20">
        <v>17</v>
      </c>
      <c r="H449" s="20">
        <v>20</v>
      </c>
      <c r="I449" s="20">
        <v>21</v>
      </c>
      <c r="J449" s="20">
        <v>21</v>
      </c>
      <c r="K449" s="20">
        <v>21</v>
      </c>
      <c r="L449" s="20">
        <v>21</v>
      </c>
      <c r="M449" s="20">
        <v>21</v>
      </c>
      <c r="N449" s="20">
        <v>21</v>
      </c>
      <c r="O449" s="20">
        <v>21</v>
      </c>
      <c r="Q449">
        <f t="shared" si="6"/>
        <v>198</v>
      </c>
    </row>
    <row r="450" spans="1:17" x14ac:dyDescent="0.3">
      <c r="A450" s="20" t="s">
        <v>89</v>
      </c>
      <c r="B450" s="20">
        <v>334153</v>
      </c>
      <c r="C450" s="32">
        <v>42860</v>
      </c>
      <c r="D450" s="20" t="s">
        <v>253</v>
      </c>
      <c r="E450" s="20">
        <v>7</v>
      </c>
      <c r="F450" s="20">
        <v>7</v>
      </c>
      <c r="G450" s="20">
        <v>15</v>
      </c>
      <c r="H450" s="20">
        <v>31</v>
      </c>
      <c r="I450" s="20">
        <v>38</v>
      </c>
      <c r="J450" s="20">
        <v>47</v>
      </c>
      <c r="K450" s="20">
        <v>82</v>
      </c>
      <c r="L450" s="20">
        <v>96</v>
      </c>
      <c r="M450" s="20">
        <v>97</v>
      </c>
      <c r="N450" s="20">
        <v>97</v>
      </c>
      <c r="O450" s="20">
        <v>97</v>
      </c>
      <c r="Q450">
        <f t="shared" si="6"/>
        <v>607</v>
      </c>
    </row>
    <row r="451" spans="1:17" x14ac:dyDescent="0.3">
      <c r="A451" s="20" t="s">
        <v>89</v>
      </c>
      <c r="B451" s="20">
        <v>334154</v>
      </c>
      <c r="C451" s="32">
        <v>42860</v>
      </c>
      <c r="D451" s="20" t="s">
        <v>255</v>
      </c>
      <c r="E451" s="20">
        <v>3</v>
      </c>
      <c r="F451" s="20">
        <v>3</v>
      </c>
      <c r="G451" s="20">
        <v>8</v>
      </c>
      <c r="H451" s="20">
        <v>9</v>
      </c>
      <c r="I451" s="20">
        <v>11</v>
      </c>
      <c r="J451" s="20">
        <v>12</v>
      </c>
      <c r="K451" s="20">
        <v>12</v>
      </c>
      <c r="L451" s="20">
        <v>12</v>
      </c>
      <c r="M451" s="20">
        <v>12</v>
      </c>
      <c r="N451" s="20">
        <v>12</v>
      </c>
      <c r="O451" s="20">
        <v>12</v>
      </c>
      <c r="Q451">
        <f t="shared" ref="Q451:Q514" si="7">SUM(F451:O451)</f>
        <v>103</v>
      </c>
    </row>
    <row r="452" spans="1:17" x14ac:dyDescent="0.3">
      <c r="A452" s="20" t="s">
        <v>89</v>
      </c>
      <c r="B452" s="20">
        <v>335251</v>
      </c>
      <c r="C452" s="32">
        <v>42860</v>
      </c>
      <c r="D452" s="20" t="s">
        <v>259</v>
      </c>
      <c r="E452" s="20">
        <v>1</v>
      </c>
      <c r="F452" s="20">
        <v>1</v>
      </c>
      <c r="G452" s="20">
        <v>2</v>
      </c>
      <c r="H452" s="20">
        <v>2</v>
      </c>
      <c r="I452" s="20">
        <v>2</v>
      </c>
      <c r="J452" s="20">
        <v>2</v>
      </c>
      <c r="K452" s="20">
        <v>2</v>
      </c>
      <c r="L452" s="20">
        <v>2</v>
      </c>
      <c r="M452" s="20">
        <v>2</v>
      </c>
      <c r="N452" s="20">
        <v>2</v>
      </c>
      <c r="O452" s="20">
        <v>2</v>
      </c>
      <c r="Q452">
        <f t="shared" si="7"/>
        <v>19</v>
      </c>
    </row>
    <row r="453" spans="1:17" x14ac:dyDescent="0.3">
      <c r="A453" s="20" t="s">
        <v>89</v>
      </c>
      <c r="B453" s="20">
        <v>328175</v>
      </c>
      <c r="C453" s="32">
        <v>42860</v>
      </c>
      <c r="D453" s="20" t="s">
        <v>255</v>
      </c>
      <c r="E453" s="20">
        <v>19</v>
      </c>
      <c r="F453" s="20">
        <v>19</v>
      </c>
      <c r="G453" s="20">
        <v>20</v>
      </c>
      <c r="H453" s="20">
        <v>20</v>
      </c>
      <c r="I453" s="20">
        <v>20</v>
      </c>
      <c r="J453" s="20">
        <v>20</v>
      </c>
      <c r="K453" s="20">
        <v>20</v>
      </c>
      <c r="L453" s="20">
        <v>20</v>
      </c>
      <c r="M453" s="20">
        <v>20</v>
      </c>
      <c r="N453" s="20">
        <v>20</v>
      </c>
      <c r="O453" s="20">
        <v>20</v>
      </c>
      <c r="Q453">
        <f t="shared" si="7"/>
        <v>199</v>
      </c>
    </row>
    <row r="454" spans="1:17" x14ac:dyDescent="0.3">
      <c r="A454" s="20" t="s">
        <v>89</v>
      </c>
      <c r="B454" s="20">
        <v>328177</v>
      </c>
      <c r="C454" s="32">
        <v>42860</v>
      </c>
      <c r="D454" s="20" t="s">
        <v>256</v>
      </c>
      <c r="E454" s="20">
        <v>1</v>
      </c>
      <c r="F454" s="20">
        <v>1</v>
      </c>
      <c r="G454" s="20">
        <v>1</v>
      </c>
      <c r="H454" s="20">
        <v>2</v>
      </c>
      <c r="I454" s="20">
        <v>2</v>
      </c>
      <c r="J454" s="20">
        <v>2</v>
      </c>
      <c r="K454" s="20">
        <v>2</v>
      </c>
      <c r="L454" s="20">
        <v>2</v>
      </c>
      <c r="M454" s="20">
        <v>2</v>
      </c>
      <c r="N454" s="20">
        <v>2</v>
      </c>
      <c r="O454" s="20">
        <v>2</v>
      </c>
      <c r="Q454">
        <f t="shared" si="7"/>
        <v>18</v>
      </c>
    </row>
    <row r="455" spans="1:17" x14ac:dyDescent="0.3">
      <c r="A455" s="20" t="s">
        <v>89</v>
      </c>
      <c r="B455" s="20">
        <v>327949</v>
      </c>
      <c r="C455" s="32">
        <v>42860</v>
      </c>
      <c r="D455" s="20" t="s">
        <v>253</v>
      </c>
      <c r="E455" s="20">
        <v>114</v>
      </c>
      <c r="F455" s="20">
        <v>114</v>
      </c>
      <c r="G455" s="20">
        <v>115</v>
      </c>
      <c r="H455" s="20">
        <v>115</v>
      </c>
      <c r="I455" s="20">
        <v>115</v>
      </c>
      <c r="J455" s="20">
        <v>115</v>
      </c>
      <c r="K455" s="20">
        <v>115</v>
      </c>
      <c r="L455" s="20">
        <v>115</v>
      </c>
      <c r="M455" s="20">
        <v>115</v>
      </c>
      <c r="N455" s="20">
        <v>115</v>
      </c>
      <c r="O455" s="20">
        <v>115</v>
      </c>
      <c r="Q455">
        <f t="shared" si="7"/>
        <v>1149</v>
      </c>
    </row>
    <row r="456" spans="1:17" x14ac:dyDescent="0.3">
      <c r="A456" s="20" t="s">
        <v>89</v>
      </c>
      <c r="B456" s="20">
        <v>329762</v>
      </c>
      <c r="C456" s="32">
        <v>42860</v>
      </c>
      <c r="D456" s="20" t="s">
        <v>258</v>
      </c>
      <c r="E456" s="20">
        <v>2</v>
      </c>
      <c r="F456" s="20">
        <v>2</v>
      </c>
      <c r="G456" s="20">
        <v>4</v>
      </c>
      <c r="H456" s="20">
        <v>4</v>
      </c>
      <c r="I456" s="20">
        <v>4</v>
      </c>
      <c r="J456" s="20">
        <v>4</v>
      </c>
      <c r="K456" s="20">
        <v>4</v>
      </c>
      <c r="L456" s="20">
        <v>4</v>
      </c>
      <c r="M456" s="20">
        <v>4</v>
      </c>
      <c r="N456" s="20">
        <v>4</v>
      </c>
      <c r="O456" s="20">
        <v>4</v>
      </c>
      <c r="Q456">
        <f t="shared" si="7"/>
        <v>38</v>
      </c>
    </row>
    <row r="457" spans="1:17" x14ac:dyDescent="0.3">
      <c r="A457" s="20" t="s">
        <v>89</v>
      </c>
      <c r="B457" s="20">
        <v>301762</v>
      </c>
      <c r="C457" s="32">
        <v>42859</v>
      </c>
      <c r="D457" s="20" t="s">
        <v>253</v>
      </c>
      <c r="E457" s="20">
        <v>78</v>
      </c>
      <c r="F457" s="20">
        <v>78</v>
      </c>
      <c r="G457" s="20">
        <v>95</v>
      </c>
      <c r="H457" s="20">
        <v>114</v>
      </c>
      <c r="I457" s="20">
        <v>132</v>
      </c>
      <c r="J457" s="20">
        <v>132</v>
      </c>
      <c r="K457" s="20">
        <v>132</v>
      </c>
      <c r="L457" s="20">
        <v>132</v>
      </c>
      <c r="M457" s="20">
        <v>132</v>
      </c>
      <c r="N457" s="20">
        <v>132</v>
      </c>
      <c r="O457" s="20">
        <v>132</v>
      </c>
      <c r="Q457">
        <f t="shared" si="7"/>
        <v>1211</v>
      </c>
    </row>
    <row r="458" spans="1:17" x14ac:dyDescent="0.3">
      <c r="A458" s="20" t="s">
        <v>89</v>
      </c>
      <c r="B458" s="20">
        <v>302392</v>
      </c>
      <c r="C458" s="32">
        <v>42859</v>
      </c>
      <c r="D458" s="20" t="s">
        <v>255</v>
      </c>
      <c r="E458" s="20">
        <v>13</v>
      </c>
      <c r="F458" s="20">
        <v>13</v>
      </c>
      <c r="G458" s="20">
        <v>16</v>
      </c>
      <c r="H458" s="20">
        <v>20</v>
      </c>
      <c r="I458" s="20">
        <v>20</v>
      </c>
      <c r="J458" s="20">
        <v>21</v>
      </c>
      <c r="K458" s="20">
        <v>21</v>
      </c>
      <c r="L458" s="20">
        <v>21</v>
      </c>
      <c r="M458" s="20">
        <v>21</v>
      </c>
      <c r="N458" s="20">
        <v>21</v>
      </c>
      <c r="O458" s="20">
        <v>21</v>
      </c>
      <c r="Q458">
        <f t="shared" si="7"/>
        <v>195</v>
      </c>
    </row>
    <row r="459" spans="1:17" x14ac:dyDescent="0.3">
      <c r="A459" s="20" t="s">
        <v>89</v>
      </c>
      <c r="B459" s="20">
        <v>301784</v>
      </c>
      <c r="C459" s="32">
        <v>42859</v>
      </c>
      <c r="D459" s="20" t="s">
        <v>255</v>
      </c>
      <c r="E459" s="20">
        <v>6</v>
      </c>
      <c r="F459" s="20">
        <v>6</v>
      </c>
      <c r="G459" s="20">
        <v>11</v>
      </c>
      <c r="H459" s="20">
        <v>16</v>
      </c>
      <c r="I459" s="20">
        <v>18</v>
      </c>
      <c r="J459" s="20">
        <v>19</v>
      </c>
      <c r="K459" s="20">
        <v>19</v>
      </c>
      <c r="L459" s="20">
        <v>19</v>
      </c>
      <c r="M459" s="20">
        <v>19</v>
      </c>
      <c r="N459" s="20">
        <v>19</v>
      </c>
      <c r="O459" s="20">
        <v>19</v>
      </c>
      <c r="Q459">
        <f t="shared" si="7"/>
        <v>165</v>
      </c>
    </row>
    <row r="460" spans="1:17" x14ac:dyDescent="0.3">
      <c r="A460" s="20" t="s">
        <v>89</v>
      </c>
      <c r="B460" s="20">
        <v>301865</v>
      </c>
      <c r="C460" s="32">
        <v>42859</v>
      </c>
      <c r="D460" s="20" t="s">
        <v>258</v>
      </c>
      <c r="E460" s="20">
        <v>2</v>
      </c>
      <c r="F460" s="20">
        <v>2</v>
      </c>
      <c r="G460" s="20">
        <v>3</v>
      </c>
      <c r="H460" s="20">
        <v>3</v>
      </c>
      <c r="I460" s="20">
        <v>3</v>
      </c>
      <c r="J460" s="20">
        <v>3</v>
      </c>
      <c r="K460" s="20">
        <v>3</v>
      </c>
      <c r="L460" s="20">
        <v>3</v>
      </c>
      <c r="M460" s="20">
        <v>3</v>
      </c>
      <c r="N460" s="20">
        <v>3</v>
      </c>
      <c r="O460" s="20">
        <v>3</v>
      </c>
      <c r="Q460">
        <f t="shared" si="7"/>
        <v>29</v>
      </c>
    </row>
    <row r="461" spans="1:17" x14ac:dyDescent="0.3">
      <c r="A461" s="20" t="s">
        <v>89</v>
      </c>
      <c r="B461" s="20">
        <v>301653</v>
      </c>
      <c r="C461" s="32">
        <v>42859</v>
      </c>
      <c r="D461" s="20" t="s">
        <v>259</v>
      </c>
      <c r="E461" s="20">
        <v>1</v>
      </c>
      <c r="F461" s="20">
        <v>2</v>
      </c>
      <c r="G461" s="20">
        <v>2</v>
      </c>
      <c r="H461" s="20">
        <v>2</v>
      </c>
      <c r="I461" s="20">
        <v>2</v>
      </c>
      <c r="J461" s="20">
        <v>2</v>
      </c>
      <c r="K461" s="20">
        <v>2</v>
      </c>
      <c r="L461" s="20">
        <v>2</v>
      </c>
      <c r="M461" s="20">
        <v>2</v>
      </c>
      <c r="N461" s="20">
        <v>2</v>
      </c>
      <c r="O461" s="20">
        <v>2</v>
      </c>
      <c r="Q461">
        <f t="shared" si="7"/>
        <v>20</v>
      </c>
    </row>
    <row r="462" spans="1:17" x14ac:dyDescent="0.3">
      <c r="A462" s="20" t="s">
        <v>89</v>
      </c>
      <c r="B462" s="20">
        <v>304960</v>
      </c>
      <c r="C462" s="32">
        <v>42859</v>
      </c>
      <c r="D462" s="20" t="s">
        <v>255</v>
      </c>
      <c r="E462" s="20">
        <v>17</v>
      </c>
      <c r="F462" s="20">
        <v>17</v>
      </c>
      <c r="G462" s="20">
        <v>17</v>
      </c>
      <c r="H462" s="20">
        <v>18</v>
      </c>
      <c r="I462" s="20">
        <v>20</v>
      </c>
      <c r="J462" s="20">
        <v>22</v>
      </c>
      <c r="K462" s="20">
        <v>22</v>
      </c>
      <c r="L462" s="20">
        <v>22</v>
      </c>
      <c r="M462" s="20">
        <v>22</v>
      </c>
      <c r="N462" s="20">
        <v>22</v>
      </c>
      <c r="O462" s="20">
        <v>22</v>
      </c>
      <c r="Q462">
        <f t="shared" si="7"/>
        <v>204</v>
      </c>
    </row>
    <row r="463" spans="1:17" x14ac:dyDescent="0.3">
      <c r="A463" s="20" t="s">
        <v>89</v>
      </c>
      <c r="B463" s="20">
        <v>304661</v>
      </c>
      <c r="C463" s="32">
        <v>42859</v>
      </c>
      <c r="D463" s="20" t="s">
        <v>253</v>
      </c>
      <c r="E463" s="20">
        <v>61</v>
      </c>
      <c r="F463" s="20">
        <v>61</v>
      </c>
      <c r="G463" s="20">
        <v>68</v>
      </c>
      <c r="H463" s="20">
        <v>96</v>
      </c>
      <c r="I463" s="20">
        <v>109</v>
      </c>
      <c r="J463" s="20">
        <v>117</v>
      </c>
      <c r="K463" s="20">
        <v>117</v>
      </c>
      <c r="L463" s="20">
        <v>117</v>
      </c>
      <c r="M463" s="20">
        <v>117</v>
      </c>
      <c r="N463" s="20">
        <v>117</v>
      </c>
      <c r="O463" s="20">
        <v>117</v>
      </c>
      <c r="Q463">
        <f t="shared" si="7"/>
        <v>1036</v>
      </c>
    </row>
    <row r="464" spans="1:17" x14ac:dyDescent="0.3">
      <c r="A464" s="20" t="s">
        <v>89</v>
      </c>
      <c r="B464" s="20">
        <v>304662</v>
      </c>
      <c r="C464" s="32">
        <v>42859</v>
      </c>
      <c r="D464" s="20" t="s">
        <v>255</v>
      </c>
      <c r="E464" s="20">
        <v>12</v>
      </c>
      <c r="F464" s="20">
        <v>12</v>
      </c>
      <c r="G464" s="20">
        <v>15</v>
      </c>
      <c r="H464" s="20">
        <v>25</v>
      </c>
      <c r="I464" s="20">
        <v>25</v>
      </c>
      <c r="J464" s="20">
        <v>25</v>
      </c>
      <c r="K464" s="20">
        <v>25</v>
      </c>
      <c r="L464" s="20">
        <v>25</v>
      </c>
      <c r="M464" s="20">
        <v>25</v>
      </c>
      <c r="N464" s="20">
        <v>25</v>
      </c>
      <c r="O464" s="20">
        <v>25</v>
      </c>
      <c r="Q464">
        <f t="shared" si="7"/>
        <v>227</v>
      </c>
    </row>
    <row r="465" spans="1:17" x14ac:dyDescent="0.3">
      <c r="A465" s="20" t="s">
        <v>89</v>
      </c>
      <c r="B465" s="20">
        <v>304782</v>
      </c>
      <c r="C465" s="32">
        <v>42859</v>
      </c>
      <c r="D465" s="20" t="s">
        <v>256</v>
      </c>
      <c r="E465" s="20">
        <v>1</v>
      </c>
      <c r="F465" s="20">
        <v>1</v>
      </c>
      <c r="G465" s="20">
        <v>1</v>
      </c>
      <c r="H465" s="20">
        <v>2</v>
      </c>
      <c r="I465" s="20">
        <v>2</v>
      </c>
      <c r="J465" s="20">
        <v>2</v>
      </c>
      <c r="K465" s="20">
        <v>2</v>
      </c>
      <c r="L465" s="20">
        <v>2</v>
      </c>
      <c r="M465" s="20">
        <v>2</v>
      </c>
      <c r="N465" s="20">
        <v>2</v>
      </c>
      <c r="O465" s="20">
        <v>2</v>
      </c>
      <c r="Q465">
        <f t="shared" si="7"/>
        <v>18</v>
      </c>
    </row>
    <row r="466" spans="1:17" x14ac:dyDescent="0.3">
      <c r="A466" s="20" t="s">
        <v>89</v>
      </c>
      <c r="B466" s="20">
        <v>304797</v>
      </c>
      <c r="C466" s="32">
        <v>42859</v>
      </c>
      <c r="D466" s="20" t="s">
        <v>253</v>
      </c>
      <c r="E466" s="20">
        <v>123</v>
      </c>
      <c r="F466" s="20">
        <v>123</v>
      </c>
      <c r="G466" s="20">
        <v>126</v>
      </c>
      <c r="H466" s="20">
        <v>131</v>
      </c>
      <c r="I466" s="20">
        <v>131</v>
      </c>
      <c r="J466" s="20">
        <v>131</v>
      </c>
      <c r="K466" s="20">
        <v>131</v>
      </c>
      <c r="L466" s="20">
        <v>131</v>
      </c>
      <c r="M466" s="20">
        <v>131</v>
      </c>
      <c r="N466" s="20">
        <v>131</v>
      </c>
      <c r="O466" s="20">
        <v>131</v>
      </c>
      <c r="Q466">
        <f t="shared" si="7"/>
        <v>1297</v>
      </c>
    </row>
    <row r="467" spans="1:17" x14ac:dyDescent="0.3">
      <c r="A467" s="20" t="s">
        <v>89</v>
      </c>
      <c r="B467" s="20">
        <v>304798</v>
      </c>
      <c r="C467" s="32">
        <v>42859</v>
      </c>
      <c r="D467" s="20" t="s">
        <v>255</v>
      </c>
      <c r="E467" s="20">
        <v>18</v>
      </c>
      <c r="F467" s="20">
        <v>18</v>
      </c>
      <c r="G467" s="20">
        <v>18</v>
      </c>
      <c r="H467" s="20">
        <v>19</v>
      </c>
      <c r="I467" s="20">
        <v>19</v>
      </c>
      <c r="J467" s="20">
        <v>19</v>
      </c>
      <c r="K467" s="20">
        <v>19</v>
      </c>
      <c r="L467" s="20">
        <v>19</v>
      </c>
      <c r="M467" s="20">
        <v>19</v>
      </c>
      <c r="N467" s="20">
        <v>19</v>
      </c>
      <c r="O467" s="20">
        <v>19</v>
      </c>
      <c r="Q467">
        <f t="shared" si="7"/>
        <v>188</v>
      </c>
    </row>
    <row r="468" spans="1:17" x14ac:dyDescent="0.3">
      <c r="A468" s="20" t="s">
        <v>89</v>
      </c>
      <c r="B468" s="20">
        <v>305427</v>
      </c>
      <c r="C468" s="32">
        <v>42859</v>
      </c>
      <c r="D468" s="20" t="s">
        <v>253</v>
      </c>
      <c r="E468" s="20">
        <v>113</v>
      </c>
      <c r="F468" s="20">
        <v>113</v>
      </c>
      <c r="G468" s="20">
        <v>114</v>
      </c>
      <c r="H468" s="20">
        <v>114</v>
      </c>
      <c r="I468" s="20">
        <v>114</v>
      </c>
      <c r="J468" s="20">
        <v>114</v>
      </c>
      <c r="K468" s="20">
        <v>114</v>
      </c>
      <c r="L468" s="20">
        <v>114</v>
      </c>
      <c r="M468" s="20">
        <v>114</v>
      </c>
      <c r="N468" s="20">
        <v>114</v>
      </c>
      <c r="O468" s="20">
        <v>114</v>
      </c>
      <c r="Q468">
        <f t="shared" si="7"/>
        <v>1139</v>
      </c>
    </row>
    <row r="469" spans="1:17" x14ac:dyDescent="0.3">
      <c r="A469" s="20" t="s">
        <v>89</v>
      </c>
      <c r="B469" s="20">
        <v>305428</v>
      </c>
      <c r="C469" s="32">
        <v>42859</v>
      </c>
      <c r="D469" s="20" t="s">
        <v>255</v>
      </c>
      <c r="E469" s="20">
        <v>23</v>
      </c>
      <c r="F469" s="20">
        <v>23</v>
      </c>
      <c r="G469" s="20">
        <v>24</v>
      </c>
      <c r="H469" s="20">
        <v>24</v>
      </c>
      <c r="I469" s="20">
        <v>24</v>
      </c>
      <c r="J469" s="20">
        <v>24</v>
      </c>
      <c r="K469" s="20">
        <v>24</v>
      </c>
      <c r="L469" s="20">
        <v>24</v>
      </c>
      <c r="M469" s="20">
        <v>24</v>
      </c>
      <c r="N469" s="20">
        <v>24</v>
      </c>
      <c r="O469" s="20">
        <v>24</v>
      </c>
      <c r="Q469">
        <f t="shared" si="7"/>
        <v>239</v>
      </c>
    </row>
    <row r="470" spans="1:17" x14ac:dyDescent="0.3">
      <c r="A470" s="20" t="s">
        <v>89</v>
      </c>
      <c r="B470" s="20">
        <v>305430</v>
      </c>
      <c r="C470" s="32">
        <v>42859</v>
      </c>
      <c r="D470" s="20" t="s">
        <v>256</v>
      </c>
      <c r="E470" s="20">
        <v>1</v>
      </c>
      <c r="F470" s="20">
        <v>1</v>
      </c>
      <c r="G470" s="20">
        <v>1</v>
      </c>
      <c r="H470" s="20">
        <v>3</v>
      </c>
      <c r="I470" s="20">
        <v>3</v>
      </c>
      <c r="J470" s="20">
        <v>3</v>
      </c>
      <c r="K470" s="20">
        <v>4</v>
      </c>
      <c r="L470" s="20">
        <v>4</v>
      </c>
      <c r="M470" s="20">
        <v>4</v>
      </c>
      <c r="N470" s="20">
        <v>4</v>
      </c>
      <c r="O470" s="20">
        <v>4</v>
      </c>
      <c r="Q470">
        <f t="shared" si="7"/>
        <v>31</v>
      </c>
    </row>
    <row r="471" spans="1:17" x14ac:dyDescent="0.3">
      <c r="A471" s="20" t="s">
        <v>89</v>
      </c>
      <c r="B471" s="20">
        <v>305218</v>
      </c>
      <c r="C471" s="32">
        <v>42859</v>
      </c>
      <c r="D471" s="20" t="s">
        <v>253</v>
      </c>
      <c r="E471" s="20">
        <v>90</v>
      </c>
      <c r="F471" s="20">
        <v>90</v>
      </c>
      <c r="G471" s="20">
        <v>103</v>
      </c>
      <c r="H471" s="20">
        <v>123</v>
      </c>
      <c r="I471" s="20">
        <v>123</v>
      </c>
      <c r="J471" s="20">
        <v>123</v>
      </c>
      <c r="K471" s="20">
        <v>123</v>
      </c>
      <c r="L471" s="20">
        <v>123</v>
      </c>
      <c r="M471" s="20">
        <v>123</v>
      </c>
      <c r="N471" s="20">
        <v>123</v>
      </c>
      <c r="O471" s="20">
        <v>123</v>
      </c>
      <c r="Q471">
        <f t="shared" si="7"/>
        <v>1177</v>
      </c>
    </row>
    <row r="472" spans="1:17" x14ac:dyDescent="0.3">
      <c r="A472" s="20" t="s">
        <v>89</v>
      </c>
      <c r="B472" s="20">
        <v>305219</v>
      </c>
      <c r="C472" s="32">
        <v>42859</v>
      </c>
      <c r="D472" s="20" t="s">
        <v>255</v>
      </c>
      <c r="E472" s="20">
        <v>9</v>
      </c>
      <c r="F472" s="20">
        <v>9</v>
      </c>
      <c r="G472" s="20">
        <v>10</v>
      </c>
      <c r="H472" s="20">
        <v>13</v>
      </c>
      <c r="I472" s="20">
        <v>13</v>
      </c>
      <c r="J472" s="20">
        <v>13</v>
      </c>
      <c r="K472" s="20">
        <v>13</v>
      </c>
      <c r="L472" s="20">
        <v>13</v>
      </c>
      <c r="M472" s="20">
        <v>13</v>
      </c>
      <c r="N472" s="20">
        <v>13</v>
      </c>
      <c r="O472" s="20">
        <v>13</v>
      </c>
      <c r="Q472">
        <f t="shared" si="7"/>
        <v>123</v>
      </c>
    </row>
    <row r="473" spans="1:17" x14ac:dyDescent="0.3">
      <c r="A473" s="20" t="s">
        <v>89</v>
      </c>
      <c r="B473" s="20">
        <v>305222</v>
      </c>
      <c r="C473" s="32">
        <v>42859</v>
      </c>
      <c r="D473" s="20" t="s">
        <v>260</v>
      </c>
      <c r="E473" s="20">
        <v>1</v>
      </c>
      <c r="F473" s="20">
        <v>1</v>
      </c>
      <c r="G473" s="20">
        <v>1</v>
      </c>
      <c r="H473" s="20">
        <v>3</v>
      </c>
      <c r="I473" s="20">
        <v>3</v>
      </c>
      <c r="J473" s="20">
        <v>3</v>
      </c>
      <c r="K473" s="20">
        <v>3</v>
      </c>
      <c r="L473" s="20">
        <v>3</v>
      </c>
      <c r="M473" s="20">
        <v>3</v>
      </c>
      <c r="N473" s="20">
        <v>3</v>
      </c>
      <c r="O473" s="20">
        <v>3</v>
      </c>
      <c r="Q473">
        <f t="shared" si="7"/>
        <v>26</v>
      </c>
    </row>
    <row r="474" spans="1:17" x14ac:dyDescent="0.3">
      <c r="A474" s="20" t="s">
        <v>89</v>
      </c>
      <c r="B474" s="20">
        <v>305228</v>
      </c>
      <c r="C474" s="32">
        <v>42859</v>
      </c>
      <c r="D474" s="20" t="s">
        <v>259</v>
      </c>
      <c r="E474" s="20">
        <v>1</v>
      </c>
      <c r="F474" s="20">
        <v>2</v>
      </c>
      <c r="G474" s="20">
        <v>2</v>
      </c>
      <c r="H474" s="20">
        <v>2</v>
      </c>
      <c r="I474" s="20">
        <v>2</v>
      </c>
      <c r="J474" s="20">
        <v>2</v>
      </c>
      <c r="K474" s="20">
        <v>3</v>
      </c>
      <c r="L474" s="20">
        <v>3</v>
      </c>
      <c r="M474" s="20">
        <v>3</v>
      </c>
      <c r="N474" s="20">
        <v>3</v>
      </c>
      <c r="O474" s="20">
        <v>3</v>
      </c>
      <c r="Q474">
        <f t="shared" si="7"/>
        <v>25</v>
      </c>
    </row>
    <row r="475" spans="1:17" x14ac:dyDescent="0.3">
      <c r="A475" s="20" t="s">
        <v>89</v>
      </c>
      <c r="B475" s="20">
        <v>305376</v>
      </c>
      <c r="C475" s="32">
        <v>42859</v>
      </c>
      <c r="D475" s="20" t="s">
        <v>253</v>
      </c>
      <c r="E475" s="20">
        <v>99</v>
      </c>
      <c r="F475" s="20">
        <v>99</v>
      </c>
      <c r="G475" s="20">
        <v>103</v>
      </c>
      <c r="H475" s="20">
        <v>128</v>
      </c>
      <c r="I475" s="20">
        <v>129</v>
      </c>
      <c r="J475" s="20">
        <v>129</v>
      </c>
      <c r="K475" s="20">
        <v>129</v>
      </c>
      <c r="L475" s="20">
        <v>129</v>
      </c>
      <c r="M475" s="20">
        <v>129</v>
      </c>
      <c r="N475" s="20">
        <v>129</v>
      </c>
      <c r="O475" s="20">
        <v>129</v>
      </c>
      <c r="Q475">
        <f t="shared" si="7"/>
        <v>1233</v>
      </c>
    </row>
    <row r="476" spans="1:17" x14ac:dyDescent="0.3">
      <c r="A476" s="20" t="s">
        <v>89</v>
      </c>
      <c r="B476" s="20">
        <v>305377</v>
      </c>
      <c r="C476" s="32">
        <v>42859</v>
      </c>
      <c r="D476" s="20" t="s">
        <v>255</v>
      </c>
      <c r="E476" s="20">
        <v>13</v>
      </c>
      <c r="F476" s="20">
        <v>13</v>
      </c>
      <c r="G476" s="20">
        <v>14</v>
      </c>
      <c r="H476" s="20">
        <v>16</v>
      </c>
      <c r="I476" s="20">
        <v>18</v>
      </c>
      <c r="J476" s="20">
        <v>18</v>
      </c>
      <c r="K476" s="20">
        <v>18</v>
      </c>
      <c r="L476" s="20">
        <v>18</v>
      </c>
      <c r="M476" s="20">
        <v>18</v>
      </c>
      <c r="N476" s="20">
        <v>18</v>
      </c>
      <c r="O476" s="20">
        <v>18</v>
      </c>
      <c r="Q476">
        <f t="shared" si="7"/>
        <v>169</v>
      </c>
    </row>
    <row r="477" spans="1:17" x14ac:dyDescent="0.3">
      <c r="A477" s="20" t="s">
        <v>89</v>
      </c>
      <c r="B477" s="20">
        <v>307318</v>
      </c>
      <c r="C477" s="32">
        <v>42859</v>
      </c>
      <c r="D477" s="20" t="s">
        <v>255</v>
      </c>
      <c r="E477" s="20">
        <v>13</v>
      </c>
      <c r="F477" s="20">
        <v>13</v>
      </c>
      <c r="G477" s="20">
        <v>15</v>
      </c>
      <c r="H477" s="20">
        <v>16</v>
      </c>
      <c r="I477" s="20">
        <v>20</v>
      </c>
      <c r="J477" s="20">
        <v>20</v>
      </c>
      <c r="K477" s="20">
        <v>20</v>
      </c>
      <c r="L477" s="20">
        <v>20</v>
      </c>
      <c r="M477" s="20">
        <v>20</v>
      </c>
      <c r="N477" s="20">
        <v>20</v>
      </c>
      <c r="O477" s="20">
        <v>20</v>
      </c>
      <c r="Q477">
        <f t="shared" si="7"/>
        <v>184</v>
      </c>
    </row>
    <row r="478" spans="1:17" x14ac:dyDescent="0.3">
      <c r="A478" s="20" t="s">
        <v>89</v>
      </c>
      <c r="B478" s="20">
        <v>306330</v>
      </c>
      <c r="C478" s="32">
        <v>42859</v>
      </c>
      <c r="D478" s="20" t="s">
        <v>253</v>
      </c>
      <c r="E478" s="20">
        <v>84</v>
      </c>
      <c r="F478" s="20">
        <v>84</v>
      </c>
      <c r="G478" s="20">
        <v>104</v>
      </c>
      <c r="H478" s="20">
        <v>124</v>
      </c>
      <c r="I478" s="20">
        <v>134</v>
      </c>
      <c r="J478" s="20">
        <v>134</v>
      </c>
      <c r="K478" s="20">
        <v>134</v>
      </c>
      <c r="L478" s="20">
        <v>134</v>
      </c>
      <c r="M478" s="20">
        <v>134</v>
      </c>
      <c r="N478" s="20">
        <v>134</v>
      </c>
      <c r="O478" s="20">
        <v>134</v>
      </c>
      <c r="Q478">
        <f t="shared" si="7"/>
        <v>1250</v>
      </c>
    </row>
    <row r="479" spans="1:17" x14ac:dyDescent="0.3">
      <c r="A479" s="20" t="s">
        <v>89</v>
      </c>
      <c r="B479" s="20">
        <v>306331</v>
      </c>
      <c r="C479" s="32">
        <v>42859</v>
      </c>
      <c r="D479" s="20" t="s">
        <v>255</v>
      </c>
      <c r="E479" s="20">
        <v>11</v>
      </c>
      <c r="F479" s="20">
        <v>11</v>
      </c>
      <c r="G479" s="20">
        <v>13</v>
      </c>
      <c r="H479" s="20">
        <v>18</v>
      </c>
      <c r="I479" s="20">
        <v>19</v>
      </c>
      <c r="J479" s="20">
        <v>19</v>
      </c>
      <c r="K479" s="20">
        <v>19</v>
      </c>
      <c r="L479" s="20">
        <v>19</v>
      </c>
      <c r="M479" s="20">
        <v>19</v>
      </c>
      <c r="N479" s="20">
        <v>19</v>
      </c>
      <c r="O479" s="20">
        <v>19</v>
      </c>
      <c r="Q479">
        <f t="shared" si="7"/>
        <v>175</v>
      </c>
    </row>
    <row r="480" spans="1:17" x14ac:dyDescent="0.3">
      <c r="A480" s="20" t="s">
        <v>89</v>
      </c>
      <c r="B480" s="20">
        <v>307356</v>
      </c>
      <c r="C480" s="32">
        <v>42859</v>
      </c>
      <c r="D480" s="20" t="s">
        <v>253</v>
      </c>
      <c r="E480" s="20">
        <v>101</v>
      </c>
      <c r="F480" s="20">
        <v>101</v>
      </c>
      <c r="G480" s="20">
        <v>103</v>
      </c>
      <c r="H480" s="20">
        <v>114</v>
      </c>
      <c r="I480" s="20">
        <v>115</v>
      </c>
      <c r="J480" s="20">
        <v>115</v>
      </c>
      <c r="K480" s="20">
        <v>115</v>
      </c>
      <c r="L480" s="20">
        <v>115</v>
      </c>
      <c r="M480" s="20">
        <v>115</v>
      </c>
      <c r="N480" s="20">
        <v>115</v>
      </c>
      <c r="O480" s="20">
        <v>115</v>
      </c>
      <c r="Q480">
        <f t="shared" si="7"/>
        <v>1123</v>
      </c>
    </row>
    <row r="481" spans="1:17" x14ac:dyDescent="0.3">
      <c r="A481" s="20" t="s">
        <v>89</v>
      </c>
      <c r="B481" s="20">
        <v>307357</v>
      </c>
      <c r="C481" s="32">
        <v>42859</v>
      </c>
      <c r="D481" s="20" t="s">
        <v>255</v>
      </c>
      <c r="E481" s="20">
        <v>18</v>
      </c>
      <c r="F481" s="20">
        <v>18</v>
      </c>
      <c r="G481" s="20">
        <v>18</v>
      </c>
      <c r="H481" s="20">
        <v>21</v>
      </c>
      <c r="I481" s="20">
        <v>21</v>
      </c>
      <c r="J481" s="20">
        <v>21</v>
      </c>
      <c r="K481" s="20">
        <v>21</v>
      </c>
      <c r="L481" s="20">
        <v>21</v>
      </c>
      <c r="M481" s="20">
        <v>21</v>
      </c>
      <c r="N481" s="20">
        <v>21</v>
      </c>
      <c r="O481" s="20">
        <v>21</v>
      </c>
      <c r="Q481">
        <f t="shared" si="7"/>
        <v>204</v>
      </c>
    </row>
    <row r="482" spans="1:17" x14ac:dyDescent="0.3">
      <c r="A482" s="20" t="s">
        <v>89</v>
      </c>
      <c r="B482" s="20">
        <v>307505</v>
      </c>
      <c r="C482" s="32">
        <v>42859</v>
      </c>
      <c r="D482" s="20" t="s">
        <v>255</v>
      </c>
      <c r="E482" s="20">
        <v>19</v>
      </c>
      <c r="F482" s="20">
        <v>19</v>
      </c>
      <c r="G482" s="20">
        <v>20</v>
      </c>
      <c r="H482" s="20">
        <v>23</v>
      </c>
      <c r="I482" s="20">
        <v>24</v>
      </c>
      <c r="J482" s="20">
        <v>24</v>
      </c>
      <c r="K482" s="20">
        <v>24</v>
      </c>
      <c r="L482" s="20">
        <v>24</v>
      </c>
      <c r="M482" s="20">
        <v>24</v>
      </c>
      <c r="N482" s="20">
        <v>24</v>
      </c>
      <c r="O482" s="20">
        <v>24</v>
      </c>
      <c r="Q482">
        <f t="shared" si="7"/>
        <v>230</v>
      </c>
    </row>
    <row r="483" spans="1:17" x14ac:dyDescent="0.3">
      <c r="A483" s="20" t="s">
        <v>89</v>
      </c>
      <c r="B483" s="20">
        <v>306638</v>
      </c>
      <c r="C483" s="32">
        <v>42859</v>
      </c>
      <c r="D483" s="20" t="s">
        <v>255</v>
      </c>
      <c r="E483" s="20">
        <v>18</v>
      </c>
      <c r="F483" s="20">
        <v>18</v>
      </c>
      <c r="G483" s="20">
        <v>21</v>
      </c>
      <c r="H483" s="20">
        <v>32</v>
      </c>
      <c r="I483" s="20">
        <v>35</v>
      </c>
      <c r="J483" s="20">
        <v>35</v>
      </c>
      <c r="K483" s="20">
        <v>35</v>
      </c>
      <c r="L483" s="20">
        <v>35</v>
      </c>
      <c r="M483" s="20">
        <v>35</v>
      </c>
      <c r="N483" s="20">
        <v>35</v>
      </c>
      <c r="O483" s="20">
        <v>35</v>
      </c>
      <c r="Q483">
        <f t="shared" si="7"/>
        <v>316</v>
      </c>
    </row>
    <row r="484" spans="1:17" x14ac:dyDescent="0.3">
      <c r="A484" s="20" t="s">
        <v>89</v>
      </c>
      <c r="B484" s="20">
        <v>306645</v>
      </c>
      <c r="C484" s="32">
        <v>42859</v>
      </c>
      <c r="D484" s="20" t="s">
        <v>259</v>
      </c>
      <c r="E484" s="20">
        <v>2</v>
      </c>
      <c r="F484" s="20">
        <v>3</v>
      </c>
      <c r="G484" s="20">
        <v>3</v>
      </c>
      <c r="H484" s="20">
        <v>4</v>
      </c>
      <c r="I484" s="20">
        <v>4</v>
      </c>
      <c r="J484" s="20">
        <v>4</v>
      </c>
      <c r="K484" s="20">
        <v>4</v>
      </c>
      <c r="L484" s="20">
        <v>4</v>
      </c>
      <c r="M484" s="20">
        <v>4</v>
      </c>
      <c r="N484" s="20">
        <v>4</v>
      </c>
      <c r="O484" s="20">
        <v>4</v>
      </c>
      <c r="Q484">
        <f t="shared" si="7"/>
        <v>38</v>
      </c>
    </row>
    <row r="485" spans="1:17" x14ac:dyDescent="0.3">
      <c r="A485" s="20" t="s">
        <v>89</v>
      </c>
      <c r="B485" s="20">
        <v>307107</v>
      </c>
      <c r="C485" s="32">
        <v>42859</v>
      </c>
      <c r="D485" s="20" t="s">
        <v>255</v>
      </c>
      <c r="E485" s="20">
        <v>18</v>
      </c>
      <c r="F485" s="20">
        <v>18</v>
      </c>
      <c r="G485" s="20">
        <v>19</v>
      </c>
      <c r="H485" s="20">
        <v>19</v>
      </c>
      <c r="I485" s="20">
        <v>19</v>
      </c>
      <c r="J485" s="20">
        <v>19</v>
      </c>
      <c r="K485" s="20">
        <v>19</v>
      </c>
      <c r="L485" s="20">
        <v>19</v>
      </c>
      <c r="M485" s="20">
        <v>19</v>
      </c>
      <c r="N485" s="20">
        <v>19</v>
      </c>
      <c r="O485" s="20">
        <v>19</v>
      </c>
      <c r="Q485">
        <f t="shared" si="7"/>
        <v>189</v>
      </c>
    </row>
    <row r="486" spans="1:17" x14ac:dyDescent="0.3">
      <c r="A486" s="20" t="s">
        <v>89</v>
      </c>
      <c r="B486" s="20">
        <v>307108</v>
      </c>
      <c r="C486" s="32">
        <v>42859</v>
      </c>
      <c r="D486" s="20" t="s">
        <v>256</v>
      </c>
      <c r="E486" s="20">
        <v>1</v>
      </c>
      <c r="F486" s="20">
        <v>2</v>
      </c>
      <c r="G486" s="20">
        <v>2</v>
      </c>
      <c r="H486" s="20">
        <v>2</v>
      </c>
      <c r="I486" s="20">
        <v>2</v>
      </c>
      <c r="J486" s="20">
        <v>2</v>
      </c>
      <c r="K486" s="20">
        <v>2</v>
      </c>
      <c r="L486" s="20">
        <v>2</v>
      </c>
      <c r="M486" s="20">
        <v>2</v>
      </c>
      <c r="N486" s="20">
        <v>2</v>
      </c>
      <c r="O486" s="20">
        <v>2</v>
      </c>
      <c r="Q486">
        <f t="shared" si="7"/>
        <v>20</v>
      </c>
    </row>
    <row r="487" spans="1:17" x14ac:dyDescent="0.3">
      <c r="A487" s="20" t="s">
        <v>89</v>
      </c>
      <c r="B487" s="20">
        <v>306172</v>
      </c>
      <c r="C487" s="32">
        <v>42859</v>
      </c>
      <c r="D487" s="20" t="s">
        <v>258</v>
      </c>
      <c r="E487" s="20">
        <v>4</v>
      </c>
      <c r="F487" s="20">
        <v>4</v>
      </c>
      <c r="G487" s="20">
        <v>4</v>
      </c>
      <c r="H487" s="20">
        <v>5</v>
      </c>
      <c r="I487" s="20">
        <v>5</v>
      </c>
      <c r="J487" s="20">
        <v>5</v>
      </c>
      <c r="K487" s="20">
        <v>5</v>
      </c>
      <c r="L487" s="20">
        <v>5</v>
      </c>
      <c r="M487" s="20">
        <v>5</v>
      </c>
      <c r="N487" s="20">
        <v>5</v>
      </c>
      <c r="O487" s="20">
        <v>5</v>
      </c>
      <c r="Q487">
        <f t="shared" si="7"/>
        <v>48</v>
      </c>
    </row>
    <row r="488" spans="1:17" x14ac:dyDescent="0.3">
      <c r="A488" s="20" t="s">
        <v>89</v>
      </c>
      <c r="B488" s="20">
        <v>306676</v>
      </c>
      <c r="C488" s="32">
        <v>42859</v>
      </c>
      <c r="D488" s="20" t="s">
        <v>255</v>
      </c>
      <c r="E488" s="20">
        <v>22</v>
      </c>
      <c r="F488" s="20">
        <v>22</v>
      </c>
      <c r="G488" s="20">
        <v>22</v>
      </c>
      <c r="H488" s="20">
        <v>24</v>
      </c>
      <c r="I488" s="20">
        <v>24</v>
      </c>
      <c r="J488" s="20">
        <v>24</v>
      </c>
      <c r="K488" s="20">
        <v>24</v>
      </c>
      <c r="L488" s="20">
        <v>24</v>
      </c>
      <c r="M488" s="20">
        <v>24</v>
      </c>
      <c r="N488" s="20">
        <v>24</v>
      </c>
      <c r="O488" s="20">
        <v>24</v>
      </c>
      <c r="Q488">
        <f t="shared" si="7"/>
        <v>236</v>
      </c>
    </row>
    <row r="489" spans="1:17" x14ac:dyDescent="0.3">
      <c r="A489" s="20" t="s">
        <v>89</v>
      </c>
      <c r="B489" s="20">
        <v>306690</v>
      </c>
      <c r="C489" s="32">
        <v>42859</v>
      </c>
      <c r="D489" s="20" t="s">
        <v>253</v>
      </c>
      <c r="E489" s="20">
        <v>93</v>
      </c>
      <c r="F489" s="20">
        <v>93</v>
      </c>
      <c r="G489" s="20">
        <v>102</v>
      </c>
      <c r="H489" s="20">
        <v>108</v>
      </c>
      <c r="I489" s="20">
        <v>109</v>
      </c>
      <c r="J489" s="20">
        <v>109</v>
      </c>
      <c r="K489" s="20">
        <v>109</v>
      </c>
      <c r="L489" s="20">
        <v>109</v>
      </c>
      <c r="M489" s="20">
        <v>109</v>
      </c>
      <c r="N489" s="20">
        <v>109</v>
      </c>
      <c r="O489" s="20">
        <v>109</v>
      </c>
      <c r="Q489">
        <f t="shared" si="7"/>
        <v>1066</v>
      </c>
    </row>
    <row r="490" spans="1:17" x14ac:dyDescent="0.3">
      <c r="A490" s="20" t="s">
        <v>89</v>
      </c>
      <c r="B490" s="20">
        <v>306691</v>
      </c>
      <c r="C490" s="32">
        <v>42859</v>
      </c>
      <c r="D490" s="20" t="s">
        <v>255</v>
      </c>
      <c r="E490" s="20">
        <v>14</v>
      </c>
      <c r="F490" s="20">
        <v>14</v>
      </c>
      <c r="G490" s="20">
        <v>14</v>
      </c>
      <c r="H490" s="20">
        <v>15</v>
      </c>
      <c r="I490" s="20">
        <v>15</v>
      </c>
      <c r="J490" s="20">
        <v>15</v>
      </c>
      <c r="K490" s="20">
        <v>15</v>
      </c>
      <c r="L490" s="20">
        <v>15</v>
      </c>
      <c r="M490" s="20">
        <v>15</v>
      </c>
      <c r="N490" s="20">
        <v>15</v>
      </c>
      <c r="O490" s="20">
        <v>15</v>
      </c>
      <c r="Q490">
        <f t="shared" si="7"/>
        <v>148</v>
      </c>
    </row>
    <row r="491" spans="1:17" x14ac:dyDescent="0.3">
      <c r="A491" s="20" t="s">
        <v>89</v>
      </c>
      <c r="B491" s="20">
        <v>306229</v>
      </c>
      <c r="C491" s="32">
        <v>42859</v>
      </c>
      <c r="D491" s="20" t="s">
        <v>255</v>
      </c>
      <c r="E491" s="20">
        <v>22</v>
      </c>
      <c r="F491" s="20">
        <v>22</v>
      </c>
      <c r="G491" s="20">
        <v>23</v>
      </c>
      <c r="H491" s="20">
        <v>23</v>
      </c>
      <c r="I491" s="20">
        <v>23</v>
      </c>
      <c r="J491" s="20">
        <v>23</v>
      </c>
      <c r="K491" s="20">
        <v>23</v>
      </c>
      <c r="L491" s="20">
        <v>23</v>
      </c>
      <c r="M491" s="20">
        <v>23</v>
      </c>
      <c r="N491" s="20">
        <v>23</v>
      </c>
      <c r="O491" s="20">
        <v>23</v>
      </c>
      <c r="Q491">
        <f t="shared" si="7"/>
        <v>229</v>
      </c>
    </row>
    <row r="492" spans="1:17" x14ac:dyDescent="0.3">
      <c r="A492" s="20" t="s">
        <v>89</v>
      </c>
      <c r="B492" s="20">
        <v>306242</v>
      </c>
      <c r="C492" s="32">
        <v>42859</v>
      </c>
      <c r="D492" s="20" t="s">
        <v>255</v>
      </c>
      <c r="E492" s="20">
        <v>14</v>
      </c>
      <c r="F492" s="20">
        <v>14</v>
      </c>
      <c r="G492" s="20">
        <v>19</v>
      </c>
      <c r="H492" s="20">
        <v>21</v>
      </c>
      <c r="I492" s="20">
        <v>22</v>
      </c>
      <c r="J492" s="20">
        <v>22</v>
      </c>
      <c r="K492" s="20">
        <v>22</v>
      </c>
      <c r="L492" s="20">
        <v>22</v>
      </c>
      <c r="M492" s="20">
        <v>22</v>
      </c>
      <c r="N492" s="20">
        <v>22</v>
      </c>
      <c r="O492" s="20">
        <v>22</v>
      </c>
      <c r="Q492">
        <f t="shared" si="7"/>
        <v>208</v>
      </c>
    </row>
    <row r="493" spans="1:17" x14ac:dyDescent="0.3">
      <c r="A493" s="20" t="s">
        <v>89</v>
      </c>
      <c r="B493" s="20">
        <v>307802</v>
      </c>
      <c r="C493" s="32">
        <v>42859</v>
      </c>
      <c r="D493" s="20" t="s">
        <v>253</v>
      </c>
      <c r="E493" s="20">
        <v>104</v>
      </c>
      <c r="F493" s="20">
        <v>104</v>
      </c>
      <c r="G493" s="20">
        <v>115</v>
      </c>
      <c r="H493" s="20">
        <v>118</v>
      </c>
      <c r="I493" s="20">
        <v>118</v>
      </c>
      <c r="J493" s="20">
        <v>118</v>
      </c>
      <c r="K493" s="20">
        <v>118</v>
      </c>
      <c r="L493" s="20">
        <v>118</v>
      </c>
      <c r="M493" s="20">
        <v>118</v>
      </c>
      <c r="N493" s="20">
        <v>118</v>
      </c>
      <c r="O493" s="20">
        <v>118</v>
      </c>
      <c r="Q493">
        <f t="shared" si="7"/>
        <v>1163</v>
      </c>
    </row>
    <row r="494" spans="1:17" x14ac:dyDescent="0.3">
      <c r="A494" s="20" t="s">
        <v>89</v>
      </c>
      <c r="B494" s="20">
        <v>307803</v>
      </c>
      <c r="C494" s="32">
        <v>42859</v>
      </c>
      <c r="D494" s="20" t="s">
        <v>255</v>
      </c>
      <c r="E494" s="20">
        <v>15</v>
      </c>
      <c r="F494" s="20">
        <v>15</v>
      </c>
      <c r="G494" s="20">
        <v>15</v>
      </c>
      <c r="H494" s="20">
        <v>19</v>
      </c>
      <c r="I494" s="20">
        <v>20</v>
      </c>
      <c r="J494" s="20">
        <v>20</v>
      </c>
      <c r="K494" s="20">
        <v>20</v>
      </c>
      <c r="L494" s="20">
        <v>20</v>
      </c>
      <c r="M494" s="20">
        <v>20</v>
      </c>
      <c r="N494" s="20">
        <v>20</v>
      </c>
      <c r="O494" s="20">
        <v>20</v>
      </c>
      <c r="Q494">
        <f t="shared" si="7"/>
        <v>189</v>
      </c>
    </row>
    <row r="495" spans="1:17" x14ac:dyDescent="0.3">
      <c r="A495" s="20" t="s">
        <v>89</v>
      </c>
      <c r="B495" s="20">
        <v>301441</v>
      </c>
      <c r="C495" s="32">
        <v>42859</v>
      </c>
      <c r="D495" s="20" t="s">
        <v>253</v>
      </c>
      <c r="E495" s="20">
        <v>130</v>
      </c>
      <c r="F495" s="20">
        <v>130</v>
      </c>
      <c r="G495" s="20">
        <v>137</v>
      </c>
      <c r="H495" s="20">
        <v>146</v>
      </c>
      <c r="I495" s="20">
        <v>149</v>
      </c>
      <c r="J495" s="20">
        <v>149</v>
      </c>
      <c r="K495" s="20">
        <v>149</v>
      </c>
      <c r="L495" s="20">
        <v>149</v>
      </c>
      <c r="M495" s="20">
        <v>149</v>
      </c>
      <c r="N495" s="20">
        <v>149</v>
      </c>
      <c r="O495" s="20">
        <v>149</v>
      </c>
      <c r="Q495">
        <f t="shared" si="7"/>
        <v>1456</v>
      </c>
    </row>
    <row r="496" spans="1:17" x14ac:dyDescent="0.3">
      <c r="A496" s="20" t="s">
        <v>89</v>
      </c>
      <c r="B496" s="20">
        <v>302047</v>
      </c>
      <c r="C496" s="32">
        <v>42859</v>
      </c>
      <c r="D496" s="20" t="s">
        <v>255</v>
      </c>
      <c r="E496" s="20">
        <v>7</v>
      </c>
      <c r="F496" s="20">
        <v>7</v>
      </c>
      <c r="G496" s="20">
        <v>13</v>
      </c>
      <c r="H496" s="20">
        <v>25</v>
      </c>
      <c r="I496" s="20">
        <v>33</v>
      </c>
      <c r="J496" s="20">
        <v>34</v>
      </c>
      <c r="K496" s="20">
        <v>34</v>
      </c>
      <c r="L496" s="20">
        <v>34</v>
      </c>
      <c r="M496" s="20">
        <v>34</v>
      </c>
      <c r="N496" s="20">
        <v>34</v>
      </c>
      <c r="O496" s="20">
        <v>34</v>
      </c>
      <c r="Q496">
        <f t="shared" si="7"/>
        <v>282</v>
      </c>
    </row>
    <row r="497" spans="1:17" x14ac:dyDescent="0.3">
      <c r="A497" s="20" t="s">
        <v>89</v>
      </c>
      <c r="B497" s="20">
        <v>302197</v>
      </c>
      <c r="C497" s="32">
        <v>42859</v>
      </c>
      <c r="D497" s="20" t="s">
        <v>255</v>
      </c>
      <c r="E497" s="20">
        <v>33</v>
      </c>
      <c r="F497" s="20">
        <v>33</v>
      </c>
      <c r="G497" s="20">
        <v>34</v>
      </c>
      <c r="H497" s="20">
        <v>37</v>
      </c>
      <c r="I497" s="20">
        <v>37</v>
      </c>
      <c r="J497" s="20">
        <v>37</v>
      </c>
      <c r="K497" s="20">
        <v>37</v>
      </c>
      <c r="L497" s="20">
        <v>37</v>
      </c>
      <c r="M497" s="20">
        <v>37</v>
      </c>
      <c r="N497" s="20">
        <v>37</v>
      </c>
      <c r="O497" s="20">
        <v>37</v>
      </c>
      <c r="Q497">
        <f t="shared" si="7"/>
        <v>363</v>
      </c>
    </row>
    <row r="498" spans="1:17" x14ac:dyDescent="0.3">
      <c r="A498" s="20" t="s">
        <v>89</v>
      </c>
      <c r="B498" s="20">
        <v>302355</v>
      </c>
      <c r="C498" s="32">
        <v>42859</v>
      </c>
      <c r="D498" s="20" t="s">
        <v>255</v>
      </c>
      <c r="E498" s="20">
        <v>21</v>
      </c>
      <c r="F498" s="20">
        <v>21</v>
      </c>
      <c r="G498" s="20">
        <v>21</v>
      </c>
      <c r="H498" s="20">
        <v>22</v>
      </c>
      <c r="I498" s="20">
        <v>22</v>
      </c>
      <c r="J498" s="20">
        <v>22</v>
      </c>
      <c r="K498" s="20">
        <v>22</v>
      </c>
      <c r="L498" s="20">
        <v>22</v>
      </c>
      <c r="M498" s="20">
        <v>22</v>
      </c>
      <c r="N498" s="20">
        <v>22</v>
      </c>
      <c r="O498" s="20">
        <v>22</v>
      </c>
      <c r="Q498">
        <f t="shared" si="7"/>
        <v>218</v>
      </c>
    </row>
    <row r="499" spans="1:17" x14ac:dyDescent="0.3">
      <c r="A499" s="20" t="s">
        <v>89</v>
      </c>
      <c r="B499" s="20">
        <v>302362</v>
      </c>
      <c r="C499" s="32">
        <v>42859</v>
      </c>
      <c r="D499" s="20" t="s">
        <v>262</v>
      </c>
      <c r="E499" s="20">
        <v>1</v>
      </c>
      <c r="F499" s="20">
        <v>1</v>
      </c>
      <c r="G499" s="20">
        <v>1</v>
      </c>
      <c r="H499" s="20">
        <v>2</v>
      </c>
      <c r="I499" s="20">
        <v>2</v>
      </c>
      <c r="J499" s="20">
        <v>2</v>
      </c>
      <c r="K499" s="20">
        <v>2</v>
      </c>
      <c r="L499" s="20">
        <v>2</v>
      </c>
      <c r="M499" s="20">
        <v>2</v>
      </c>
      <c r="N499" s="20">
        <v>2</v>
      </c>
      <c r="O499" s="20">
        <v>2</v>
      </c>
      <c r="Q499">
        <f t="shared" si="7"/>
        <v>18</v>
      </c>
    </row>
    <row r="500" spans="1:17" x14ac:dyDescent="0.3">
      <c r="A500" s="20" t="s">
        <v>89</v>
      </c>
      <c r="B500" s="20">
        <v>302391</v>
      </c>
      <c r="C500" s="32">
        <v>42859</v>
      </c>
      <c r="D500" s="20" t="s">
        <v>253</v>
      </c>
      <c r="E500" s="20">
        <v>47</v>
      </c>
      <c r="F500" s="20">
        <v>47</v>
      </c>
      <c r="G500" s="20">
        <v>51</v>
      </c>
      <c r="H500" s="20">
        <v>59</v>
      </c>
      <c r="I500" s="20">
        <v>91</v>
      </c>
      <c r="J500" s="20">
        <v>145</v>
      </c>
      <c r="K500" s="20">
        <v>151</v>
      </c>
      <c r="L500" s="20">
        <v>151</v>
      </c>
      <c r="M500" s="20">
        <v>151</v>
      </c>
      <c r="N500" s="20">
        <v>151</v>
      </c>
      <c r="O500" s="20">
        <v>151</v>
      </c>
      <c r="Q500">
        <f t="shared" si="7"/>
        <v>1148</v>
      </c>
    </row>
    <row r="501" spans="1:17" x14ac:dyDescent="0.3">
      <c r="A501" s="20" t="s">
        <v>89</v>
      </c>
      <c r="B501" s="20">
        <v>301763</v>
      </c>
      <c r="C501" s="32">
        <v>42859</v>
      </c>
      <c r="D501" s="20" t="s">
        <v>255</v>
      </c>
      <c r="E501" s="20">
        <v>13</v>
      </c>
      <c r="F501" s="20">
        <v>13</v>
      </c>
      <c r="G501" s="20">
        <v>13</v>
      </c>
      <c r="H501" s="20">
        <v>17</v>
      </c>
      <c r="I501" s="20">
        <v>17</v>
      </c>
      <c r="J501" s="20">
        <v>17</v>
      </c>
      <c r="K501" s="20">
        <v>17</v>
      </c>
      <c r="L501" s="20">
        <v>17</v>
      </c>
      <c r="M501" s="20">
        <v>17</v>
      </c>
      <c r="N501" s="20">
        <v>17</v>
      </c>
      <c r="O501" s="20">
        <v>17</v>
      </c>
      <c r="Q501">
        <f t="shared" si="7"/>
        <v>162</v>
      </c>
    </row>
    <row r="502" spans="1:17" x14ac:dyDescent="0.3">
      <c r="A502" s="20" t="s">
        <v>89</v>
      </c>
      <c r="B502" s="20">
        <v>290957</v>
      </c>
      <c r="C502" s="32">
        <v>42858</v>
      </c>
      <c r="D502" s="20" t="s">
        <v>258</v>
      </c>
      <c r="E502" s="20">
        <v>1</v>
      </c>
      <c r="F502" s="20">
        <v>1</v>
      </c>
      <c r="G502" s="20">
        <v>2</v>
      </c>
      <c r="H502" s="20">
        <v>2</v>
      </c>
      <c r="I502" s="20">
        <v>2</v>
      </c>
      <c r="J502" s="20">
        <v>2</v>
      </c>
      <c r="K502" s="20">
        <v>2</v>
      </c>
      <c r="L502" s="20">
        <v>2</v>
      </c>
      <c r="M502" s="20">
        <v>2</v>
      </c>
      <c r="N502" s="20">
        <v>2</v>
      </c>
      <c r="O502" s="20">
        <v>2</v>
      </c>
      <c r="Q502">
        <f t="shared" si="7"/>
        <v>19</v>
      </c>
    </row>
    <row r="503" spans="1:17" x14ac:dyDescent="0.3">
      <c r="A503" s="20" t="s">
        <v>89</v>
      </c>
      <c r="B503" s="20">
        <v>299145</v>
      </c>
      <c r="C503" s="32">
        <v>42858</v>
      </c>
      <c r="D503" s="20" t="s">
        <v>255</v>
      </c>
      <c r="E503" s="20">
        <v>11</v>
      </c>
      <c r="F503" s="20">
        <v>11</v>
      </c>
      <c r="G503" s="20">
        <v>12</v>
      </c>
      <c r="H503" s="20">
        <v>12</v>
      </c>
      <c r="I503" s="20">
        <v>13</v>
      </c>
      <c r="J503" s="20">
        <v>13</v>
      </c>
      <c r="K503" s="20">
        <v>13</v>
      </c>
      <c r="L503" s="20">
        <v>13</v>
      </c>
      <c r="M503" s="20">
        <v>13</v>
      </c>
      <c r="N503" s="20">
        <v>13</v>
      </c>
      <c r="O503" s="20">
        <v>13</v>
      </c>
      <c r="Q503">
        <f t="shared" si="7"/>
        <v>126</v>
      </c>
    </row>
    <row r="504" spans="1:17" x14ac:dyDescent="0.3">
      <c r="A504" s="20" t="s">
        <v>89</v>
      </c>
      <c r="B504" s="20">
        <v>290518</v>
      </c>
      <c r="C504" s="32">
        <v>42858</v>
      </c>
      <c r="D504" s="20" t="s">
        <v>253</v>
      </c>
      <c r="E504" s="20">
        <v>131</v>
      </c>
      <c r="F504" s="20">
        <v>131</v>
      </c>
      <c r="G504" s="20">
        <v>142</v>
      </c>
      <c r="H504" s="20">
        <v>154</v>
      </c>
      <c r="I504" s="20">
        <v>154</v>
      </c>
      <c r="J504" s="20">
        <v>154</v>
      </c>
      <c r="K504" s="20">
        <v>154</v>
      </c>
      <c r="L504" s="20">
        <v>154</v>
      </c>
      <c r="M504" s="20">
        <v>154</v>
      </c>
      <c r="N504" s="20">
        <v>154</v>
      </c>
      <c r="O504" s="20">
        <v>154</v>
      </c>
      <c r="Q504">
        <f t="shared" si="7"/>
        <v>1505</v>
      </c>
    </row>
    <row r="505" spans="1:17" x14ac:dyDescent="0.3">
      <c r="A505" s="20" t="s">
        <v>89</v>
      </c>
      <c r="B505" s="20">
        <v>292103</v>
      </c>
      <c r="C505" s="32">
        <v>42858</v>
      </c>
      <c r="D505" s="20" t="s">
        <v>256</v>
      </c>
      <c r="E505" s="20">
        <v>1</v>
      </c>
      <c r="F505" s="20">
        <v>1</v>
      </c>
      <c r="G505" s="20">
        <v>2</v>
      </c>
      <c r="H505" s="20">
        <v>2</v>
      </c>
      <c r="I505" s="20">
        <v>2</v>
      </c>
      <c r="J505" s="20">
        <v>2</v>
      </c>
      <c r="K505" s="20">
        <v>2</v>
      </c>
      <c r="L505" s="20">
        <v>2</v>
      </c>
      <c r="M505" s="20">
        <v>2</v>
      </c>
      <c r="N505" s="20">
        <v>2</v>
      </c>
      <c r="O505" s="20">
        <v>2</v>
      </c>
      <c r="Q505">
        <f t="shared" si="7"/>
        <v>19</v>
      </c>
    </row>
    <row r="506" spans="1:17" x14ac:dyDescent="0.3">
      <c r="A506" s="20" t="s">
        <v>89</v>
      </c>
      <c r="B506" s="20">
        <v>290524</v>
      </c>
      <c r="C506" s="32">
        <v>42858</v>
      </c>
      <c r="D506" s="20" t="s">
        <v>258</v>
      </c>
      <c r="E506" s="20">
        <v>1</v>
      </c>
      <c r="F506" s="20">
        <v>1</v>
      </c>
      <c r="G506" s="20">
        <v>1</v>
      </c>
      <c r="H506" s="20">
        <v>2</v>
      </c>
      <c r="I506" s="20">
        <v>2</v>
      </c>
      <c r="J506" s="20">
        <v>2</v>
      </c>
      <c r="K506" s="20">
        <v>2</v>
      </c>
      <c r="L506" s="20">
        <v>2</v>
      </c>
      <c r="M506" s="20">
        <v>2</v>
      </c>
      <c r="N506" s="20">
        <v>2</v>
      </c>
      <c r="O506" s="20">
        <v>2</v>
      </c>
      <c r="Q506">
        <f t="shared" si="7"/>
        <v>18</v>
      </c>
    </row>
    <row r="507" spans="1:17" x14ac:dyDescent="0.3">
      <c r="A507" s="20" t="s">
        <v>89</v>
      </c>
      <c r="B507" s="20">
        <v>290525</v>
      </c>
      <c r="C507" s="32">
        <v>42858</v>
      </c>
      <c r="D507" s="20" t="s">
        <v>262</v>
      </c>
      <c r="E507" s="20">
        <v>2</v>
      </c>
      <c r="F507" s="20">
        <v>2</v>
      </c>
      <c r="G507" s="20">
        <v>2</v>
      </c>
      <c r="H507" s="20">
        <v>3</v>
      </c>
      <c r="I507" s="20">
        <v>4</v>
      </c>
      <c r="J507" s="20">
        <v>4</v>
      </c>
      <c r="K507" s="20">
        <v>4</v>
      </c>
      <c r="L507" s="20">
        <v>4</v>
      </c>
      <c r="M507" s="20">
        <v>4</v>
      </c>
      <c r="N507" s="20">
        <v>4</v>
      </c>
      <c r="O507" s="20">
        <v>4</v>
      </c>
      <c r="Q507">
        <f t="shared" si="7"/>
        <v>35</v>
      </c>
    </row>
    <row r="508" spans="1:17" x14ac:dyDescent="0.3">
      <c r="A508" s="20" t="s">
        <v>89</v>
      </c>
      <c r="B508" s="20">
        <v>291621</v>
      </c>
      <c r="C508" s="32">
        <v>42858</v>
      </c>
      <c r="D508" s="20" t="s">
        <v>255</v>
      </c>
      <c r="E508" s="20">
        <v>2</v>
      </c>
      <c r="F508" s="20">
        <v>2</v>
      </c>
      <c r="G508" s="20">
        <v>8</v>
      </c>
      <c r="H508" s="20">
        <v>16</v>
      </c>
      <c r="I508" s="20">
        <v>22</v>
      </c>
      <c r="J508" s="20">
        <v>23</v>
      </c>
      <c r="K508" s="20">
        <v>23</v>
      </c>
      <c r="L508" s="20">
        <v>23</v>
      </c>
      <c r="M508" s="20">
        <v>23</v>
      </c>
      <c r="N508" s="20">
        <v>23</v>
      </c>
      <c r="O508" s="20">
        <v>23</v>
      </c>
      <c r="Q508">
        <f t="shared" si="7"/>
        <v>186</v>
      </c>
    </row>
    <row r="509" spans="1:17" x14ac:dyDescent="0.3">
      <c r="A509" s="20" t="s">
        <v>89</v>
      </c>
      <c r="B509" s="20">
        <v>291630</v>
      </c>
      <c r="C509" s="32">
        <v>42858</v>
      </c>
      <c r="D509" s="20" t="s">
        <v>254</v>
      </c>
      <c r="E509" s="20">
        <v>1</v>
      </c>
      <c r="F509" s="20">
        <v>0</v>
      </c>
      <c r="G509" s="20">
        <v>0</v>
      </c>
      <c r="H509" s="20">
        <v>0</v>
      </c>
      <c r="I509" s="20">
        <v>1</v>
      </c>
      <c r="J509" s="20">
        <v>1</v>
      </c>
      <c r="K509" s="20">
        <v>1</v>
      </c>
      <c r="L509" s="20">
        <v>1</v>
      </c>
      <c r="M509" s="20">
        <v>1</v>
      </c>
      <c r="N509" s="20">
        <v>1</v>
      </c>
      <c r="O509" s="20">
        <v>1</v>
      </c>
      <c r="Q509">
        <f t="shared" si="7"/>
        <v>7</v>
      </c>
    </row>
    <row r="510" spans="1:17" x14ac:dyDescent="0.3">
      <c r="A510" s="20" t="s">
        <v>89</v>
      </c>
      <c r="B510" s="20">
        <v>290707</v>
      </c>
      <c r="C510" s="32">
        <v>42858</v>
      </c>
      <c r="D510" s="20" t="s">
        <v>255</v>
      </c>
      <c r="E510" s="20">
        <v>17</v>
      </c>
      <c r="F510" s="20">
        <v>17</v>
      </c>
      <c r="G510" s="20">
        <v>19</v>
      </c>
      <c r="H510" s="20">
        <v>24</v>
      </c>
      <c r="I510" s="20">
        <v>25</v>
      </c>
      <c r="J510" s="20">
        <v>25</v>
      </c>
      <c r="K510" s="20">
        <v>25</v>
      </c>
      <c r="L510" s="20">
        <v>25</v>
      </c>
      <c r="M510" s="20">
        <v>25</v>
      </c>
      <c r="N510" s="20">
        <v>25</v>
      </c>
      <c r="O510" s="20">
        <v>25</v>
      </c>
      <c r="Q510">
        <f t="shared" si="7"/>
        <v>235</v>
      </c>
    </row>
    <row r="511" spans="1:17" x14ac:dyDescent="0.3">
      <c r="A511" s="20" t="s">
        <v>89</v>
      </c>
      <c r="B511" s="20">
        <v>291800</v>
      </c>
      <c r="C511" s="32">
        <v>42858</v>
      </c>
      <c r="D511" s="20" t="s">
        <v>255</v>
      </c>
      <c r="E511" s="20">
        <v>15</v>
      </c>
      <c r="F511" s="20">
        <v>15</v>
      </c>
      <c r="G511" s="20">
        <v>17</v>
      </c>
      <c r="H511" s="20">
        <v>17</v>
      </c>
      <c r="I511" s="20">
        <v>17</v>
      </c>
      <c r="J511" s="20">
        <v>17</v>
      </c>
      <c r="K511" s="20">
        <v>17</v>
      </c>
      <c r="L511" s="20">
        <v>17</v>
      </c>
      <c r="M511" s="20">
        <v>17</v>
      </c>
      <c r="N511" s="20">
        <v>17</v>
      </c>
      <c r="O511" s="20">
        <v>17</v>
      </c>
      <c r="Q511">
        <f t="shared" si="7"/>
        <v>168</v>
      </c>
    </row>
    <row r="512" spans="1:17" x14ac:dyDescent="0.3">
      <c r="A512" s="20" t="s">
        <v>89</v>
      </c>
      <c r="B512" s="20">
        <v>291292</v>
      </c>
      <c r="C512" s="32">
        <v>42858</v>
      </c>
      <c r="D512" s="20" t="s">
        <v>265</v>
      </c>
      <c r="E512" s="20">
        <v>5</v>
      </c>
      <c r="F512" s="20">
        <v>5</v>
      </c>
      <c r="G512" s="20">
        <v>6</v>
      </c>
      <c r="H512" s="20">
        <v>6</v>
      </c>
      <c r="I512" s="20">
        <v>6</v>
      </c>
      <c r="J512" s="20">
        <v>6</v>
      </c>
      <c r="K512" s="20">
        <v>6</v>
      </c>
      <c r="L512" s="20">
        <v>6</v>
      </c>
      <c r="M512" s="20">
        <v>6</v>
      </c>
      <c r="N512" s="20">
        <v>6</v>
      </c>
      <c r="O512" s="20">
        <v>6</v>
      </c>
      <c r="Q512">
        <f t="shared" si="7"/>
        <v>59</v>
      </c>
    </row>
    <row r="513" spans="1:17" x14ac:dyDescent="0.3">
      <c r="A513" s="20" t="s">
        <v>89</v>
      </c>
      <c r="B513" s="20">
        <v>291372</v>
      </c>
      <c r="C513" s="32">
        <v>42858</v>
      </c>
      <c r="D513" s="20" t="s">
        <v>253</v>
      </c>
      <c r="E513" s="20">
        <v>114</v>
      </c>
      <c r="F513" s="20">
        <v>114</v>
      </c>
      <c r="G513" s="20">
        <v>130</v>
      </c>
      <c r="H513" s="20">
        <v>147</v>
      </c>
      <c r="I513" s="20">
        <v>147</v>
      </c>
      <c r="J513" s="20">
        <v>147</v>
      </c>
      <c r="K513" s="20">
        <v>147</v>
      </c>
      <c r="L513" s="20">
        <v>147</v>
      </c>
      <c r="M513" s="20">
        <v>147</v>
      </c>
      <c r="N513" s="20">
        <v>147</v>
      </c>
      <c r="O513" s="20">
        <v>147</v>
      </c>
      <c r="Q513">
        <f t="shared" si="7"/>
        <v>1420</v>
      </c>
    </row>
    <row r="514" spans="1:17" x14ac:dyDescent="0.3">
      <c r="A514" s="20" t="s">
        <v>89</v>
      </c>
      <c r="B514" s="20">
        <v>291373</v>
      </c>
      <c r="C514" s="32">
        <v>42858</v>
      </c>
      <c r="D514" s="20" t="s">
        <v>255</v>
      </c>
      <c r="E514" s="20">
        <v>19</v>
      </c>
      <c r="F514" s="20">
        <v>19</v>
      </c>
      <c r="G514" s="20">
        <v>23</v>
      </c>
      <c r="H514" s="20">
        <v>28</v>
      </c>
      <c r="I514" s="20">
        <v>32</v>
      </c>
      <c r="J514" s="20">
        <v>33</v>
      </c>
      <c r="K514" s="20">
        <v>33</v>
      </c>
      <c r="L514" s="20">
        <v>33</v>
      </c>
      <c r="M514" s="20">
        <v>33</v>
      </c>
      <c r="N514" s="20">
        <v>33</v>
      </c>
      <c r="O514" s="20">
        <v>33</v>
      </c>
      <c r="Q514">
        <f t="shared" si="7"/>
        <v>300</v>
      </c>
    </row>
    <row r="515" spans="1:17" x14ac:dyDescent="0.3">
      <c r="A515" s="20" t="s">
        <v>89</v>
      </c>
      <c r="B515" s="20">
        <v>291377</v>
      </c>
      <c r="C515" s="32">
        <v>42858</v>
      </c>
      <c r="D515" s="20" t="s">
        <v>256</v>
      </c>
      <c r="E515" s="20">
        <v>1</v>
      </c>
      <c r="F515" s="20">
        <v>1</v>
      </c>
      <c r="G515" s="20">
        <v>2</v>
      </c>
      <c r="H515" s="20">
        <v>2</v>
      </c>
      <c r="I515" s="20">
        <v>3</v>
      </c>
      <c r="J515" s="20">
        <v>3</v>
      </c>
      <c r="K515" s="20">
        <v>3</v>
      </c>
      <c r="L515" s="20">
        <v>3</v>
      </c>
      <c r="M515" s="20">
        <v>3</v>
      </c>
      <c r="N515" s="20">
        <v>3</v>
      </c>
      <c r="O515" s="20">
        <v>3</v>
      </c>
      <c r="Q515">
        <f t="shared" ref="Q515:Q578" si="8">SUM(F515:O515)</f>
        <v>26</v>
      </c>
    </row>
    <row r="516" spans="1:17" x14ac:dyDescent="0.3">
      <c r="A516" s="20" t="s">
        <v>89</v>
      </c>
      <c r="B516" s="20">
        <v>291379</v>
      </c>
      <c r="C516" s="32">
        <v>42858</v>
      </c>
      <c r="D516" s="20" t="s">
        <v>257</v>
      </c>
      <c r="E516" s="20">
        <v>1</v>
      </c>
      <c r="F516" s="20">
        <v>1</v>
      </c>
      <c r="G516" s="20">
        <v>1</v>
      </c>
      <c r="H516" s="20">
        <v>2</v>
      </c>
      <c r="I516" s="20">
        <v>2</v>
      </c>
      <c r="J516" s="20">
        <v>2</v>
      </c>
      <c r="K516" s="20">
        <v>2</v>
      </c>
      <c r="L516" s="20">
        <v>3</v>
      </c>
      <c r="M516" s="20">
        <v>4</v>
      </c>
      <c r="N516" s="20">
        <v>4</v>
      </c>
      <c r="O516" s="20">
        <v>4</v>
      </c>
      <c r="Q516">
        <f t="shared" si="8"/>
        <v>25</v>
      </c>
    </row>
    <row r="517" spans="1:17" x14ac:dyDescent="0.3">
      <c r="A517" s="20" t="s">
        <v>89</v>
      </c>
      <c r="B517" s="20">
        <v>291383</v>
      </c>
      <c r="C517" s="32">
        <v>42858</v>
      </c>
      <c r="D517" s="20" t="s">
        <v>258</v>
      </c>
      <c r="E517" s="20">
        <v>2</v>
      </c>
      <c r="F517" s="20">
        <v>2</v>
      </c>
      <c r="G517" s="20">
        <v>4</v>
      </c>
      <c r="H517" s="20">
        <v>4</v>
      </c>
      <c r="I517" s="20">
        <v>4</v>
      </c>
      <c r="J517" s="20">
        <v>4</v>
      </c>
      <c r="K517" s="20">
        <v>4</v>
      </c>
      <c r="L517" s="20">
        <v>4</v>
      </c>
      <c r="M517" s="20">
        <v>4</v>
      </c>
      <c r="N517" s="20">
        <v>4</v>
      </c>
      <c r="O517" s="20">
        <v>4</v>
      </c>
      <c r="Q517">
        <f t="shared" si="8"/>
        <v>38</v>
      </c>
    </row>
    <row r="518" spans="1:17" x14ac:dyDescent="0.3">
      <c r="A518" s="20" t="s">
        <v>89</v>
      </c>
      <c r="B518" s="20">
        <v>290855</v>
      </c>
      <c r="C518" s="32">
        <v>42858</v>
      </c>
      <c r="D518" s="20" t="s">
        <v>255</v>
      </c>
      <c r="E518" s="20">
        <v>21</v>
      </c>
      <c r="F518" s="20">
        <v>21</v>
      </c>
      <c r="G518" s="20">
        <v>24</v>
      </c>
      <c r="H518" s="20">
        <v>24</v>
      </c>
      <c r="I518" s="20">
        <v>24</v>
      </c>
      <c r="J518" s="20">
        <v>24</v>
      </c>
      <c r="K518" s="20">
        <v>24</v>
      </c>
      <c r="L518" s="20">
        <v>24</v>
      </c>
      <c r="M518" s="20">
        <v>24</v>
      </c>
      <c r="N518" s="20">
        <v>24</v>
      </c>
      <c r="O518" s="20">
        <v>24</v>
      </c>
      <c r="Q518">
        <f t="shared" si="8"/>
        <v>237</v>
      </c>
    </row>
    <row r="519" spans="1:17" x14ac:dyDescent="0.3">
      <c r="A519" s="20" t="s">
        <v>89</v>
      </c>
      <c r="B519" s="20">
        <v>291425</v>
      </c>
      <c r="C519" s="32">
        <v>42858</v>
      </c>
      <c r="D519" s="20" t="s">
        <v>258</v>
      </c>
      <c r="E519" s="20">
        <v>3</v>
      </c>
      <c r="F519" s="20">
        <v>3</v>
      </c>
      <c r="G519" s="20">
        <v>3</v>
      </c>
      <c r="H519" s="20">
        <v>4</v>
      </c>
      <c r="I519" s="20">
        <v>4</v>
      </c>
      <c r="J519" s="20">
        <v>4</v>
      </c>
      <c r="K519" s="20">
        <v>4</v>
      </c>
      <c r="L519" s="20">
        <v>4</v>
      </c>
      <c r="M519" s="20">
        <v>4</v>
      </c>
      <c r="N519" s="20">
        <v>4</v>
      </c>
      <c r="O519" s="20">
        <v>4</v>
      </c>
      <c r="Q519">
        <f t="shared" si="8"/>
        <v>38</v>
      </c>
    </row>
    <row r="520" spans="1:17" x14ac:dyDescent="0.3">
      <c r="A520" s="20" t="s">
        <v>89</v>
      </c>
      <c r="B520" s="20">
        <v>291451</v>
      </c>
      <c r="C520" s="32">
        <v>42858</v>
      </c>
      <c r="D520" s="20" t="s">
        <v>255</v>
      </c>
      <c r="E520" s="20">
        <v>20</v>
      </c>
      <c r="F520" s="20">
        <v>20</v>
      </c>
      <c r="G520" s="20">
        <v>21</v>
      </c>
      <c r="H520" s="20">
        <v>28</v>
      </c>
      <c r="I520" s="20">
        <v>30</v>
      </c>
      <c r="J520" s="20">
        <v>30</v>
      </c>
      <c r="K520" s="20">
        <v>30</v>
      </c>
      <c r="L520" s="20">
        <v>30</v>
      </c>
      <c r="M520" s="20">
        <v>30</v>
      </c>
      <c r="N520" s="20">
        <v>30</v>
      </c>
      <c r="O520" s="20">
        <v>30</v>
      </c>
      <c r="Q520">
        <f t="shared" si="8"/>
        <v>279</v>
      </c>
    </row>
    <row r="521" spans="1:17" x14ac:dyDescent="0.3">
      <c r="A521" s="20" t="s">
        <v>89</v>
      </c>
      <c r="B521" s="20">
        <v>292364</v>
      </c>
      <c r="C521" s="32">
        <v>42858</v>
      </c>
      <c r="D521" s="20" t="s">
        <v>253</v>
      </c>
      <c r="E521" s="20">
        <v>142</v>
      </c>
      <c r="F521" s="20">
        <v>142</v>
      </c>
      <c r="G521" s="20">
        <v>147</v>
      </c>
      <c r="H521" s="20">
        <v>154</v>
      </c>
      <c r="I521" s="20">
        <v>154</v>
      </c>
      <c r="J521" s="20">
        <v>154</v>
      </c>
      <c r="K521" s="20">
        <v>154</v>
      </c>
      <c r="L521" s="20">
        <v>154</v>
      </c>
      <c r="M521" s="20">
        <v>154</v>
      </c>
      <c r="N521" s="20">
        <v>154</v>
      </c>
      <c r="O521" s="20">
        <v>154</v>
      </c>
      <c r="Q521">
        <f t="shared" si="8"/>
        <v>1521</v>
      </c>
    </row>
    <row r="522" spans="1:17" x14ac:dyDescent="0.3">
      <c r="A522" s="20" t="s">
        <v>89</v>
      </c>
      <c r="B522" s="20">
        <v>292365</v>
      </c>
      <c r="C522" s="32">
        <v>42858</v>
      </c>
      <c r="D522" s="20" t="s">
        <v>255</v>
      </c>
      <c r="E522" s="20">
        <v>25</v>
      </c>
      <c r="F522" s="20">
        <v>25</v>
      </c>
      <c r="G522" s="20">
        <v>27</v>
      </c>
      <c r="H522" s="20">
        <v>32</v>
      </c>
      <c r="I522" s="20">
        <v>33</v>
      </c>
      <c r="J522" s="20">
        <v>33</v>
      </c>
      <c r="K522" s="20">
        <v>33</v>
      </c>
      <c r="L522" s="20">
        <v>33</v>
      </c>
      <c r="M522" s="20">
        <v>33</v>
      </c>
      <c r="N522" s="20">
        <v>33</v>
      </c>
      <c r="O522" s="20">
        <v>33</v>
      </c>
      <c r="Q522">
        <f t="shared" si="8"/>
        <v>315</v>
      </c>
    </row>
    <row r="523" spans="1:17" x14ac:dyDescent="0.3">
      <c r="A523" s="20" t="s">
        <v>89</v>
      </c>
      <c r="B523" s="20">
        <v>295020</v>
      </c>
      <c r="C523" s="32">
        <v>42858</v>
      </c>
      <c r="D523" s="20" t="s">
        <v>255</v>
      </c>
      <c r="E523" s="20">
        <v>18</v>
      </c>
      <c r="F523" s="20">
        <v>18</v>
      </c>
      <c r="G523" s="20">
        <v>18</v>
      </c>
      <c r="H523" s="20">
        <v>21</v>
      </c>
      <c r="I523" s="20">
        <v>21</v>
      </c>
      <c r="J523" s="20">
        <v>22</v>
      </c>
      <c r="K523" s="20">
        <v>22</v>
      </c>
      <c r="L523" s="20">
        <v>22</v>
      </c>
      <c r="M523" s="20">
        <v>22</v>
      </c>
      <c r="N523" s="20">
        <v>22</v>
      </c>
      <c r="O523" s="20">
        <v>22</v>
      </c>
      <c r="Q523">
        <f t="shared" si="8"/>
        <v>210</v>
      </c>
    </row>
    <row r="524" spans="1:17" x14ac:dyDescent="0.3">
      <c r="A524" s="20" t="s">
        <v>89</v>
      </c>
      <c r="B524" s="20">
        <v>295023</v>
      </c>
      <c r="C524" s="32">
        <v>42858</v>
      </c>
      <c r="D524" s="20" t="s">
        <v>260</v>
      </c>
      <c r="E524" s="20">
        <v>2</v>
      </c>
      <c r="F524" s="20">
        <v>2</v>
      </c>
      <c r="G524" s="20">
        <v>3</v>
      </c>
      <c r="H524" s="20">
        <v>3</v>
      </c>
      <c r="I524" s="20">
        <v>3</v>
      </c>
      <c r="J524" s="20">
        <v>3</v>
      </c>
      <c r="K524" s="20">
        <v>3</v>
      </c>
      <c r="L524" s="20">
        <v>3</v>
      </c>
      <c r="M524" s="20">
        <v>3</v>
      </c>
      <c r="N524" s="20">
        <v>3</v>
      </c>
      <c r="O524" s="20">
        <v>3</v>
      </c>
      <c r="Q524">
        <f t="shared" si="8"/>
        <v>29</v>
      </c>
    </row>
    <row r="525" spans="1:17" x14ac:dyDescent="0.3">
      <c r="A525" s="20" t="s">
        <v>89</v>
      </c>
      <c r="B525" s="20">
        <v>294681</v>
      </c>
      <c r="C525" s="32">
        <v>42858</v>
      </c>
      <c r="D525" s="20" t="s">
        <v>255</v>
      </c>
      <c r="E525" s="20">
        <v>5</v>
      </c>
      <c r="F525" s="20">
        <v>5</v>
      </c>
      <c r="G525" s="20">
        <v>8</v>
      </c>
      <c r="H525" s="20">
        <v>12</v>
      </c>
      <c r="I525" s="20">
        <v>13</v>
      </c>
      <c r="J525" s="20">
        <v>13</v>
      </c>
      <c r="K525" s="20">
        <v>13</v>
      </c>
      <c r="L525" s="20">
        <v>13</v>
      </c>
      <c r="M525" s="20">
        <v>13</v>
      </c>
      <c r="N525" s="20">
        <v>13</v>
      </c>
      <c r="O525" s="20">
        <v>13</v>
      </c>
      <c r="Q525">
        <f t="shared" si="8"/>
        <v>116</v>
      </c>
    </row>
    <row r="526" spans="1:17" x14ac:dyDescent="0.3">
      <c r="A526" s="20" t="s">
        <v>89</v>
      </c>
      <c r="B526" s="20">
        <v>297062</v>
      </c>
      <c r="C526" s="32">
        <v>42858</v>
      </c>
      <c r="D526" s="20" t="s">
        <v>253</v>
      </c>
      <c r="E526" s="20">
        <v>48</v>
      </c>
      <c r="F526" s="20">
        <v>48</v>
      </c>
      <c r="G526" s="20">
        <v>55</v>
      </c>
      <c r="H526" s="20">
        <v>88</v>
      </c>
      <c r="I526" s="20">
        <v>119</v>
      </c>
      <c r="J526" s="20">
        <v>119</v>
      </c>
      <c r="K526" s="20">
        <v>119</v>
      </c>
      <c r="L526" s="20">
        <v>119</v>
      </c>
      <c r="M526" s="20">
        <v>119</v>
      </c>
      <c r="N526" s="20">
        <v>119</v>
      </c>
      <c r="O526" s="20">
        <v>119</v>
      </c>
      <c r="Q526">
        <f t="shared" si="8"/>
        <v>1024</v>
      </c>
    </row>
    <row r="527" spans="1:17" x14ac:dyDescent="0.3">
      <c r="A527" s="20" t="s">
        <v>89</v>
      </c>
      <c r="B527" s="20">
        <v>297063</v>
      </c>
      <c r="C527" s="32">
        <v>42858</v>
      </c>
      <c r="D527" s="20" t="s">
        <v>255</v>
      </c>
      <c r="E527" s="20">
        <v>11</v>
      </c>
      <c r="F527" s="20">
        <v>11</v>
      </c>
      <c r="G527" s="20">
        <v>18</v>
      </c>
      <c r="H527" s="20">
        <v>21</v>
      </c>
      <c r="I527" s="20">
        <v>22</v>
      </c>
      <c r="J527" s="20">
        <v>24</v>
      </c>
      <c r="K527" s="20">
        <v>27</v>
      </c>
      <c r="L527" s="20">
        <v>27</v>
      </c>
      <c r="M527" s="20">
        <v>27</v>
      </c>
      <c r="N527" s="20">
        <v>27</v>
      </c>
      <c r="O527" s="20">
        <v>27</v>
      </c>
      <c r="Q527">
        <f t="shared" si="8"/>
        <v>231</v>
      </c>
    </row>
    <row r="528" spans="1:17" x14ac:dyDescent="0.3">
      <c r="A528" s="20" t="s">
        <v>89</v>
      </c>
      <c r="B528" s="20">
        <v>297068</v>
      </c>
      <c r="C528" s="32">
        <v>42858</v>
      </c>
      <c r="D528" s="20" t="s">
        <v>258</v>
      </c>
      <c r="E528" s="20">
        <v>1</v>
      </c>
      <c r="F528" s="20">
        <v>1</v>
      </c>
      <c r="G528" s="20">
        <v>1</v>
      </c>
      <c r="H528" s="20">
        <v>2</v>
      </c>
      <c r="I528" s="20">
        <v>2</v>
      </c>
      <c r="J528" s="20">
        <v>4</v>
      </c>
      <c r="K528" s="20">
        <v>6</v>
      </c>
      <c r="L528" s="20">
        <v>6</v>
      </c>
      <c r="M528" s="20">
        <v>6</v>
      </c>
      <c r="N528" s="20">
        <v>6</v>
      </c>
      <c r="O528" s="20">
        <v>6</v>
      </c>
      <c r="Q528">
        <f t="shared" si="8"/>
        <v>40</v>
      </c>
    </row>
    <row r="529" spans="1:17" x14ac:dyDescent="0.3">
      <c r="A529" s="20" t="s">
        <v>89</v>
      </c>
      <c r="B529" s="20">
        <v>295541</v>
      </c>
      <c r="C529" s="32">
        <v>42858</v>
      </c>
      <c r="D529" s="20" t="s">
        <v>260</v>
      </c>
      <c r="E529" s="20">
        <v>1</v>
      </c>
      <c r="F529" s="20">
        <v>1</v>
      </c>
      <c r="G529" s="20">
        <v>1</v>
      </c>
      <c r="H529" s="20">
        <v>2</v>
      </c>
      <c r="I529" s="20">
        <v>2</v>
      </c>
      <c r="J529" s="20">
        <v>2</v>
      </c>
      <c r="K529" s="20">
        <v>2</v>
      </c>
      <c r="L529" s="20">
        <v>2</v>
      </c>
      <c r="M529" s="20">
        <v>2</v>
      </c>
      <c r="N529" s="20">
        <v>2</v>
      </c>
      <c r="O529" s="20">
        <v>2</v>
      </c>
      <c r="Q529">
        <f t="shared" si="8"/>
        <v>18</v>
      </c>
    </row>
    <row r="530" spans="1:17" x14ac:dyDescent="0.3">
      <c r="A530" s="20" t="s">
        <v>89</v>
      </c>
      <c r="B530" s="20">
        <v>295555</v>
      </c>
      <c r="C530" s="32">
        <v>42858</v>
      </c>
      <c r="D530" s="20" t="s">
        <v>253</v>
      </c>
      <c r="E530" s="20">
        <v>14</v>
      </c>
      <c r="F530" s="20">
        <v>14</v>
      </c>
      <c r="G530" s="20">
        <v>16</v>
      </c>
      <c r="H530" s="20">
        <v>23</v>
      </c>
      <c r="I530" s="20">
        <v>48</v>
      </c>
      <c r="J530" s="20">
        <v>82</v>
      </c>
      <c r="K530" s="20">
        <v>127</v>
      </c>
      <c r="L530" s="20">
        <v>145</v>
      </c>
      <c r="M530" s="20">
        <v>148</v>
      </c>
      <c r="N530" s="20">
        <v>148</v>
      </c>
      <c r="O530" s="20">
        <v>148</v>
      </c>
      <c r="Q530">
        <f t="shared" si="8"/>
        <v>899</v>
      </c>
    </row>
    <row r="531" spans="1:17" x14ac:dyDescent="0.3">
      <c r="A531" s="20" t="s">
        <v>89</v>
      </c>
      <c r="B531" s="20">
        <v>295556</v>
      </c>
      <c r="C531" s="32">
        <v>42858</v>
      </c>
      <c r="D531" s="20" t="s">
        <v>255</v>
      </c>
      <c r="E531" s="20">
        <v>9</v>
      </c>
      <c r="F531" s="20">
        <v>9</v>
      </c>
      <c r="G531" s="20">
        <v>13</v>
      </c>
      <c r="H531" s="20">
        <v>16</v>
      </c>
      <c r="I531" s="20">
        <v>20</v>
      </c>
      <c r="J531" s="20">
        <v>20</v>
      </c>
      <c r="K531" s="20">
        <v>20</v>
      </c>
      <c r="L531" s="20">
        <v>20</v>
      </c>
      <c r="M531" s="20">
        <v>20</v>
      </c>
      <c r="N531" s="20">
        <v>20</v>
      </c>
      <c r="O531" s="20">
        <v>20</v>
      </c>
      <c r="Q531">
        <f t="shared" si="8"/>
        <v>178</v>
      </c>
    </row>
    <row r="532" spans="1:17" x14ac:dyDescent="0.3">
      <c r="A532" s="20" t="s">
        <v>89</v>
      </c>
      <c r="B532" s="20">
        <v>295560</v>
      </c>
      <c r="C532" s="32">
        <v>42858</v>
      </c>
      <c r="D532" s="20" t="s">
        <v>261</v>
      </c>
      <c r="E532" s="20">
        <v>1</v>
      </c>
      <c r="F532" s="20">
        <v>2</v>
      </c>
      <c r="G532" s="20">
        <v>2</v>
      </c>
      <c r="H532" s="20">
        <v>2</v>
      </c>
      <c r="I532" s="20">
        <v>2</v>
      </c>
      <c r="J532" s="20">
        <v>3</v>
      </c>
      <c r="K532" s="20">
        <v>3</v>
      </c>
      <c r="L532" s="20">
        <v>3</v>
      </c>
      <c r="M532" s="20">
        <v>3</v>
      </c>
      <c r="N532" s="20">
        <v>3</v>
      </c>
      <c r="O532" s="20">
        <v>3</v>
      </c>
      <c r="Q532">
        <f t="shared" si="8"/>
        <v>26</v>
      </c>
    </row>
    <row r="533" spans="1:17" x14ac:dyDescent="0.3">
      <c r="A533" s="20" t="s">
        <v>89</v>
      </c>
      <c r="B533" s="20">
        <v>296756</v>
      </c>
      <c r="C533" s="32">
        <v>42858</v>
      </c>
      <c r="D533" s="20" t="s">
        <v>255</v>
      </c>
      <c r="E533" s="20">
        <v>12</v>
      </c>
      <c r="F533" s="20">
        <v>12</v>
      </c>
      <c r="G533" s="20">
        <v>12</v>
      </c>
      <c r="H533" s="20">
        <v>14</v>
      </c>
      <c r="I533" s="20">
        <v>16</v>
      </c>
      <c r="J533" s="20">
        <v>16</v>
      </c>
      <c r="K533" s="20">
        <v>19</v>
      </c>
      <c r="L533" s="20">
        <v>19</v>
      </c>
      <c r="M533" s="20">
        <v>19</v>
      </c>
      <c r="N533" s="20">
        <v>19</v>
      </c>
      <c r="O533" s="20">
        <v>19</v>
      </c>
      <c r="Q533">
        <f t="shared" si="8"/>
        <v>165</v>
      </c>
    </row>
    <row r="534" spans="1:17" x14ac:dyDescent="0.3">
      <c r="A534" s="20" t="s">
        <v>89</v>
      </c>
      <c r="B534" s="20">
        <v>296841</v>
      </c>
      <c r="C534" s="32">
        <v>42858</v>
      </c>
      <c r="D534" s="20" t="s">
        <v>255</v>
      </c>
      <c r="E534" s="20">
        <v>17</v>
      </c>
      <c r="F534" s="20">
        <v>17</v>
      </c>
      <c r="G534" s="20">
        <v>20</v>
      </c>
      <c r="H534" s="20">
        <v>26</v>
      </c>
      <c r="I534" s="20">
        <v>29</v>
      </c>
      <c r="J534" s="20">
        <v>29</v>
      </c>
      <c r="K534" s="20">
        <v>29</v>
      </c>
      <c r="L534" s="20">
        <v>29</v>
      </c>
      <c r="M534" s="20">
        <v>29</v>
      </c>
      <c r="N534" s="20">
        <v>29</v>
      </c>
      <c r="O534" s="20">
        <v>29</v>
      </c>
      <c r="Q534">
        <f t="shared" si="8"/>
        <v>266</v>
      </c>
    </row>
    <row r="535" spans="1:17" x14ac:dyDescent="0.3">
      <c r="A535" s="20" t="s">
        <v>89</v>
      </c>
      <c r="B535" s="20">
        <v>295375</v>
      </c>
      <c r="C535" s="32">
        <v>42858</v>
      </c>
      <c r="D535" s="20" t="s">
        <v>260</v>
      </c>
      <c r="E535" s="20">
        <v>1</v>
      </c>
      <c r="F535" s="20">
        <v>1</v>
      </c>
      <c r="G535" s="20">
        <v>1</v>
      </c>
      <c r="H535" s="20">
        <v>2</v>
      </c>
      <c r="I535" s="20">
        <v>2</v>
      </c>
      <c r="J535" s="20">
        <v>2</v>
      </c>
      <c r="K535" s="20">
        <v>2</v>
      </c>
      <c r="L535" s="20">
        <v>2</v>
      </c>
      <c r="M535" s="20">
        <v>2</v>
      </c>
      <c r="N535" s="20">
        <v>2</v>
      </c>
      <c r="O535" s="20">
        <v>2</v>
      </c>
      <c r="Q535">
        <f t="shared" si="8"/>
        <v>18</v>
      </c>
    </row>
    <row r="536" spans="1:17" x14ac:dyDescent="0.3">
      <c r="A536" s="20" t="s">
        <v>89</v>
      </c>
      <c r="B536" s="20">
        <v>296410</v>
      </c>
      <c r="C536" s="32">
        <v>42858</v>
      </c>
      <c r="D536" s="20" t="s">
        <v>253</v>
      </c>
      <c r="E536" s="20">
        <v>96</v>
      </c>
      <c r="F536" s="20">
        <v>96</v>
      </c>
      <c r="G536" s="20">
        <v>97</v>
      </c>
      <c r="H536" s="20">
        <v>98</v>
      </c>
      <c r="I536" s="20">
        <v>98</v>
      </c>
      <c r="J536" s="20">
        <v>98</v>
      </c>
      <c r="K536" s="20">
        <v>98</v>
      </c>
      <c r="L536" s="20">
        <v>98</v>
      </c>
      <c r="M536" s="20">
        <v>98</v>
      </c>
      <c r="N536" s="20">
        <v>98</v>
      </c>
      <c r="O536" s="20">
        <v>98</v>
      </c>
      <c r="Q536">
        <f t="shared" si="8"/>
        <v>977</v>
      </c>
    </row>
    <row r="537" spans="1:17" x14ac:dyDescent="0.3">
      <c r="A537" s="20" t="s">
        <v>89</v>
      </c>
      <c r="B537" s="20">
        <v>296411</v>
      </c>
      <c r="C537" s="32">
        <v>42858</v>
      </c>
      <c r="D537" s="20" t="s">
        <v>255</v>
      </c>
      <c r="E537" s="20">
        <v>22</v>
      </c>
      <c r="F537" s="20">
        <v>22</v>
      </c>
      <c r="G537" s="20">
        <v>23</v>
      </c>
      <c r="H537" s="20">
        <v>27</v>
      </c>
      <c r="I537" s="20">
        <v>28</v>
      </c>
      <c r="J537" s="20">
        <v>31</v>
      </c>
      <c r="K537" s="20">
        <v>31</v>
      </c>
      <c r="L537" s="20">
        <v>31</v>
      </c>
      <c r="M537" s="20">
        <v>31</v>
      </c>
      <c r="N537" s="20">
        <v>31</v>
      </c>
      <c r="O537" s="20">
        <v>31</v>
      </c>
      <c r="Q537">
        <f t="shared" si="8"/>
        <v>286</v>
      </c>
    </row>
    <row r="538" spans="1:17" x14ac:dyDescent="0.3">
      <c r="A538" s="20" t="s">
        <v>89</v>
      </c>
      <c r="B538" s="20">
        <v>297661</v>
      </c>
      <c r="C538" s="32">
        <v>42858</v>
      </c>
      <c r="D538" s="20" t="s">
        <v>255</v>
      </c>
      <c r="E538" s="20">
        <v>14</v>
      </c>
      <c r="F538" s="20">
        <v>14</v>
      </c>
      <c r="G538" s="20">
        <v>15</v>
      </c>
      <c r="H538" s="20">
        <v>19</v>
      </c>
      <c r="I538" s="20">
        <v>23</v>
      </c>
      <c r="J538" s="20">
        <v>24</v>
      </c>
      <c r="K538" s="20">
        <v>24</v>
      </c>
      <c r="L538" s="20">
        <v>24</v>
      </c>
      <c r="M538" s="20">
        <v>24</v>
      </c>
      <c r="N538" s="20">
        <v>24</v>
      </c>
      <c r="O538" s="20">
        <v>24</v>
      </c>
      <c r="Q538">
        <f t="shared" si="8"/>
        <v>215</v>
      </c>
    </row>
    <row r="539" spans="1:17" x14ac:dyDescent="0.3">
      <c r="A539" s="20" t="s">
        <v>89</v>
      </c>
      <c r="B539" s="20">
        <v>297664</v>
      </c>
      <c r="C539" s="32">
        <v>42858</v>
      </c>
      <c r="D539" s="20" t="s">
        <v>261</v>
      </c>
      <c r="E539" s="20">
        <v>1</v>
      </c>
      <c r="F539" s="20">
        <v>1</v>
      </c>
      <c r="G539" s="20">
        <v>1</v>
      </c>
      <c r="H539" s="20">
        <v>2</v>
      </c>
      <c r="I539" s="20">
        <v>2</v>
      </c>
      <c r="J539" s="20">
        <v>2</v>
      </c>
      <c r="K539" s="20">
        <v>2</v>
      </c>
      <c r="L539" s="20">
        <v>2</v>
      </c>
      <c r="M539" s="20">
        <v>2</v>
      </c>
      <c r="N539" s="20">
        <v>2</v>
      </c>
      <c r="O539" s="20">
        <v>2</v>
      </c>
      <c r="Q539">
        <f t="shared" si="8"/>
        <v>18</v>
      </c>
    </row>
    <row r="540" spans="1:17" x14ac:dyDescent="0.3">
      <c r="A540" s="20" t="s">
        <v>89</v>
      </c>
      <c r="B540" s="20">
        <v>298952</v>
      </c>
      <c r="C540" s="32">
        <v>42858</v>
      </c>
      <c r="D540" s="20" t="s">
        <v>255</v>
      </c>
      <c r="E540" s="20">
        <v>13</v>
      </c>
      <c r="F540" s="20">
        <v>13</v>
      </c>
      <c r="G540" s="20">
        <v>15</v>
      </c>
      <c r="H540" s="20">
        <v>19</v>
      </c>
      <c r="I540" s="20">
        <v>22</v>
      </c>
      <c r="J540" s="20">
        <v>25</v>
      </c>
      <c r="K540" s="20">
        <v>28</v>
      </c>
      <c r="L540" s="20">
        <v>32</v>
      </c>
      <c r="M540" s="20">
        <v>34</v>
      </c>
      <c r="N540" s="20">
        <v>34</v>
      </c>
      <c r="O540" s="20">
        <v>34</v>
      </c>
      <c r="Q540">
        <f t="shared" si="8"/>
        <v>256</v>
      </c>
    </row>
    <row r="541" spans="1:17" x14ac:dyDescent="0.3">
      <c r="A541" s="20" t="s">
        <v>89</v>
      </c>
      <c r="B541" s="20">
        <v>291524</v>
      </c>
      <c r="C541" s="32">
        <v>42858</v>
      </c>
      <c r="D541" s="20" t="s">
        <v>253</v>
      </c>
      <c r="E541" s="20">
        <v>25</v>
      </c>
      <c r="F541" s="20">
        <v>25</v>
      </c>
      <c r="G541" s="20">
        <v>32</v>
      </c>
      <c r="H541" s="20">
        <v>60</v>
      </c>
      <c r="I541" s="20">
        <v>106</v>
      </c>
      <c r="J541" s="20">
        <v>130</v>
      </c>
      <c r="K541" s="20">
        <v>140</v>
      </c>
      <c r="L541" s="20">
        <v>140</v>
      </c>
      <c r="M541" s="20">
        <v>140</v>
      </c>
      <c r="N541" s="20">
        <v>140</v>
      </c>
      <c r="O541" s="20">
        <v>140</v>
      </c>
      <c r="Q541">
        <f t="shared" si="8"/>
        <v>1053</v>
      </c>
    </row>
    <row r="542" spans="1:17" x14ac:dyDescent="0.3">
      <c r="A542" s="20" t="s">
        <v>89</v>
      </c>
      <c r="B542" s="20">
        <v>261437</v>
      </c>
      <c r="C542" s="32">
        <v>42857</v>
      </c>
      <c r="D542" s="20" t="s">
        <v>253</v>
      </c>
      <c r="E542" s="20">
        <v>101</v>
      </c>
      <c r="F542" s="20">
        <v>101</v>
      </c>
      <c r="G542" s="20">
        <v>141</v>
      </c>
      <c r="H542" s="20">
        <v>164</v>
      </c>
      <c r="I542" s="20">
        <v>164</v>
      </c>
      <c r="J542" s="20">
        <v>164</v>
      </c>
      <c r="K542" s="20">
        <v>164</v>
      </c>
      <c r="L542" s="20">
        <v>164</v>
      </c>
      <c r="M542" s="20">
        <v>164</v>
      </c>
      <c r="N542" s="20">
        <v>164</v>
      </c>
      <c r="O542" s="20">
        <v>164</v>
      </c>
      <c r="Q542">
        <f t="shared" si="8"/>
        <v>1554</v>
      </c>
    </row>
    <row r="543" spans="1:17" x14ac:dyDescent="0.3">
      <c r="A543" s="20" t="s">
        <v>89</v>
      </c>
      <c r="B543" s="20">
        <v>268212</v>
      </c>
      <c r="C543" s="32">
        <v>42857</v>
      </c>
      <c r="D543" s="20" t="s">
        <v>258</v>
      </c>
      <c r="E543" s="20">
        <v>2</v>
      </c>
      <c r="F543" s="20">
        <v>2</v>
      </c>
      <c r="G543" s="20">
        <v>2</v>
      </c>
      <c r="H543" s="20">
        <v>3</v>
      </c>
      <c r="I543" s="20">
        <v>3</v>
      </c>
      <c r="J543" s="20">
        <v>3</v>
      </c>
      <c r="K543" s="20">
        <v>3</v>
      </c>
      <c r="L543" s="20">
        <v>3</v>
      </c>
      <c r="M543" s="20">
        <v>3</v>
      </c>
      <c r="N543" s="20">
        <v>3</v>
      </c>
      <c r="O543" s="20">
        <v>3</v>
      </c>
      <c r="Q543">
        <f t="shared" si="8"/>
        <v>28</v>
      </c>
    </row>
    <row r="544" spans="1:17" x14ac:dyDescent="0.3">
      <c r="A544" s="20" t="s">
        <v>89</v>
      </c>
      <c r="B544" s="20">
        <v>261439</v>
      </c>
      <c r="C544" s="32">
        <v>42857</v>
      </c>
      <c r="D544" s="20" t="s">
        <v>256</v>
      </c>
      <c r="E544" s="20">
        <v>1</v>
      </c>
      <c r="F544" s="20">
        <v>1</v>
      </c>
      <c r="G544" s="20">
        <v>2</v>
      </c>
      <c r="H544" s="20">
        <v>3</v>
      </c>
      <c r="I544" s="20">
        <v>3</v>
      </c>
      <c r="J544" s="20">
        <v>3</v>
      </c>
      <c r="K544" s="20">
        <v>3</v>
      </c>
      <c r="L544" s="20">
        <v>3</v>
      </c>
      <c r="M544" s="20">
        <v>3</v>
      </c>
      <c r="N544" s="20">
        <v>3</v>
      </c>
      <c r="O544" s="20">
        <v>3</v>
      </c>
      <c r="Q544">
        <f t="shared" si="8"/>
        <v>27</v>
      </c>
    </row>
    <row r="545" spans="1:17" x14ac:dyDescent="0.3">
      <c r="A545" s="20" t="s">
        <v>89</v>
      </c>
      <c r="B545" s="20">
        <v>261394</v>
      </c>
      <c r="C545" s="32">
        <v>42857</v>
      </c>
      <c r="D545" s="20" t="s">
        <v>255</v>
      </c>
      <c r="E545" s="20">
        <v>10</v>
      </c>
      <c r="F545" s="20">
        <v>10</v>
      </c>
      <c r="G545" s="20">
        <v>11</v>
      </c>
      <c r="H545" s="20">
        <v>15</v>
      </c>
      <c r="I545" s="20">
        <v>21</v>
      </c>
      <c r="J545" s="20">
        <v>26</v>
      </c>
      <c r="K545" s="20">
        <v>29</v>
      </c>
      <c r="L545" s="20">
        <v>29</v>
      </c>
      <c r="M545" s="20">
        <v>30</v>
      </c>
      <c r="N545" s="20">
        <v>33</v>
      </c>
      <c r="O545" s="20">
        <v>39</v>
      </c>
      <c r="Q545">
        <f t="shared" si="8"/>
        <v>243</v>
      </c>
    </row>
    <row r="546" spans="1:17" x14ac:dyDescent="0.3">
      <c r="A546" s="20" t="s">
        <v>89</v>
      </c>
      <c r="B546" s="20">
        <v>263581</v>
      </c>
      <c r="C546" s="32">
        <v>42857</v>
      </c>
      <c r="D546" s="20" t="s">
        <v>255</v>
      </c>
      <c r="E546" s="20">
        <v>28</v>
      </c>
      <c r="F546" s="20">
        <v>28</v>
      </c>
      <c r="G546" s="20">
        <v>30</v>
      </c>
      <c r="H546" s="20">
        <v>33</v>
      </c>
      <c r="I546" s="20">
        <v>33</v>
      </c>
      <c r="J546" s="20">
        <v>33</v>
      </c>
      <c r="K546" s="20">
        <v>33</v>
      </c>
      <c r="L546" s="20">
        <v>33</v>
      </c>
      <c r="M546" s="20">
        <v>33</v>
      </c>
      <c r="N546" s="20">
        <v>33</v>
      </c>
      <c r="O546" s="20">
        <v>33</v>
      </c>
      <c r="Q546">
        <f t="shared" si="8"/>
        <v>322</v>
      </c>
    </row>
    <row r="547" spans="1:17" x14ac:dyDescent="0.3">
      <c r="A547" s="20" t="s">
        <v>89</v>
      </c>
      <c r="B547" s="20">
        <v>263110</v>
      </c>
      <c r="C547" s="32">
        <v>42857</v>
      </c>
      <c r="D547" s="20" t="s">
        <v>255</v>
      </c>
      <c r="E547" s="20">
        <v>17</v>
      </c>
      <c r="F547" s="20">
        <v>17</v>
      </c>
      <c r="G547" s="20">
        <v>21</v>
      </c>
      <c r="H547" s="20">
        <v>22</v>
      </c>
      <c r="I547" s="20">
        <v>24</v>
      </c>
      <c r="J547" s="20">
        <v>24</v>
      </c>
      <c r="K547" s="20">
        <v>24</v>
      </c>
      <c r="L547" s="20">
        <v>24</v>
      </c>
      <c r="M547" s="20">
        <v>24</v>
      </c>
      <c r="N547" s="20">
        <v>24</v>
      </c>
      <c r="O547" s="20">
        <v>24</v>
      </c>
      <c r="Q547">
        <f t="shared" si="8"/>
        <v>228</v>
      </c>
    </row>
    <row r="548" spans="1:17" x14ac:dyDescent="0.3">
      <c r="A548" s="20" t="s">
        <v>89</v>
      </c>
      <c r="B548" s="20">
        <v>263116</v>
      </c>
      <c r="C548" s="32">
        <v>42857</v>
      </c>
      <c r="D548" s="20" t="s">
        <v>258</v>
      </c>
      <c r="E548" s="20">
        <v>2</v>
      </c>
      <c r="F548" s="20">
        <v>2</v>
      </c>
      <c r="G548" s="20">
        <v>2</v>
      </c>
      <c r="H548" s="20">
        <v>3</v>
      </c>
      <c r="I548" s="20">
        <v>4</v>
      </c>
      <c r="J548" s="20">
        <v>4</v>
      </c>
      <c r="K548" s="20">
        <v>4</v>
      </c>
      <c r="L548" s="20">
        <v>4</v>
      </c>
      <c r="M548" s="20">
        <v>4</v>
      </c>
      <c r="N548" s="20">
        <v>4</v>
      </c>
      <c r="O548" s="20">
        <v>4</v>
      </c>
      <c r="Q548">
        <f t="shared" si="8"/>
        <v>35</v>
      </c>
    </row>
    <row r="549" spans="1:17" x14ac:dyDescent="0.3">
      <c r="A549" s="20" t="s">
        <v>89</v>
      </c>
      <c r="B549" s="20">
        <v>262642</v>
      </c>
      <c r="C549" s="32">
        <v>42857</v>
      </c>
      <c r="D549" s="20" t="s">
        <v>258</v>
      </c>
      <c r="E549" s="20">
        <v>1</v>
      </c>
      <c r="F549" s="20">
        <v>2</v>
      </c>
      <c r="G549" s="20">
        <v>2</v>
      </c>
      <c r="H549" s="20">
        <v>2</v>
      </c>
      <c r="I549" s="20">
        <v>3</v>
      </c>
      <c r="J549" s="20">
        <v>4</v>
      </c>
      <c r="K549" s="20">
        <v>4</v>
      </c>
      <c r="L549" s="20">
        <v>4</v>
      </c>
      <c r="M549" s="20">
        <v>4</v>
      </c>
      <c r="N549" s="20">
        <v>4</v>
      </c>
      <c r="O549" s="20">
        <v>4</v>
      </c>
      <c r="Q549">
        <f t="shared" si="8"/>
        <v>33</v>
      </c>
    </row>
    <row r="550" spans="1:17" x14ac:dyDescent="0.3">
      <c r="A550" s="20" t="s">
        <v>89</v>
      </c>
      <c r="B550" s="20">
        <v>261638</v>
      </c>
      <c r="C550" s="32">
        <v>42857</v>
      </c>
      <c r="D550" s="20" t="s">
        <v>257</v>
      </c>
      <c r="E550" s="20">
        <v>1</v>
      </c>
      <c r="F550" s="20">
        <v>1</v>
      </c>
      <c r="G550" s="20">
        <v>2</v>
      </c>
      <c r="H550" s="20">
        <v>2</v>
      </c>
      <c r="I550" s="20">
        <v>2</v>
      </c>
      <c r="J550" s="20">
        <v>2</v>
      </c>
      <c r="K550" s="20">
        <v>2</v>
      </c>
      <c r="L550" s="20">
        <v>2</v>
      </c>
      <c r="M550" s="20">
        <v>2</v>
      </c>
      <c r="N550" s="20">
        <v>2</v>
      </c>
      <c r="O550" s="20">
        <v>2</v>
      </c>
      <c r="Q550">
        <f t="shared" si="8"/>
        <v>19</v>
      </c>
    </row>
    <row r="551" spans="1:17" x14ac:dyDescent="0.3">
      <c r="A551" s="20" t="s">
        <v>89</v>
      </c>
      <c r="B551" s="20">
        <v>261644</v>
      </c>
      <c r="C551" s="32">
        <v>42857</v>
      </c>
      <c r="D551" s="20" t="s">
        <v>259</v>
      </c>
      <c r="E551" s="20">
        <v>1</v>
      </c>
      <c r="F551" s="20">
        <v>1</v>
      </c>
      <c r="G551" s="20">
        <v>1</v>
      </c>
      <c r="H551" s="20">
        <v>2</v>
      </c>
      <c r="I551" s="20">
        <v>2</v>
      </c>
      <c r="J551" s="20">
        <v>2</v>
      </c>
      <c r="K551" s="20">
        <v>2</v>
      </c>
      <c r="L551" s="20">
        <v>2</v>
      </c>
      <c r="M551" s="20">
        <v>2</v>
      </c>
      <c r="N551" s="20">
        <v>2</v>
      </c>
      <c r="O551" s="20">
        <v>2</v>
      </c>
      <c r="Q551">
        <f t="shared" si="8"/>
        <v>18</v>
      </c>
    </row>
    <row r="552" spans="1:17" x14ac:dyDescent="0.3">
      <c r="A552" s="20" t="s">
        <v>89</v>
      </c>
      <c r="B552" s="20">
        <v>261710</v>
      </c>
      <c r="C552" s="32">
        <v>42857</v>
      </c>
      <c r="D552" s="20" t="s">
        <v>255</v>
      </c>
      <c r="E552" s="20">
        <v>35</v>
      </c>
      <c r="F552" s="20">
        <v>35</v>
      </c>
      <c r="G552" s="20">
        <v>36</v>
      </c>
      <c r="H552" s="20">
        <v>39</v>
      </c>
      <c r="I552" s="20">
        <v>39</v>
      </c>
      <c r="J552" s="20">
        <v>39</v>
      </c>
      <c r="K552" s="20">
        <v>39</v>
      </c>
      <c r="L552" s="20">
        <v>39</v>
      </c>
      <c r="M552" s="20">
        <v>39</v>
      </c>
      <c r="N552" s="20">
        <v>39</v>
      </c>
      <c r="O552" s="20">
        <v>39</v>
      </c>
      <c r="Q552">
        <f t="shared" si="8"/>
        <v>383</v>
      </c>
    </row>
    <row r="553" spans="1:17" x14ac:dyDescent="0.3">
      <c r="A553" s="20" t="s">
        <v>89</v>
      </c>
      <c r="B553" s="20">
        <v>262262</v>
      </c>
      <c r="C553" s="32">
        <v>42857</v>
      </c>
      <c r="D553" s="20" t="s">
        <v>253</v>
      </c>
      <c r="E553" s="20">
        <v>142</v>
      </c>
      <c r="F553" s="20">
        <v>142</v>
      </c>
      <c r="G553" s="20">
        <v>144</v>
      </c>
      <c r="H553" s="20">
        <v>159</v>
      </c>
      <c r="I553" s="20">
        <v>165</v>
      </c>
      <c r="J553" s="20">
        <v>165</v>
      </c>
      <c r="K553" s="20">
        <v>165</v>
      </c>
      <c r="L553" s="20">
        <v>165</v>
      </c>
      <c r="M553" s="20">
        <v>165</v>
      </c>
      <c r="N553" s="20">
        <v>165</v>
      </c>
      <c r="O553" s="20">
        <v>165</v>
      </c>
      <c r="Q553">
        <f t="shared" si="8"/>
        <v>1600</v>
      </c>
    </row>
    <row r="554" spans="1:17" x14ac:dyDescent="0.3">
      <c r="A554" s="20" t="s">
        <v>89</v>
      </c>
      <c r="B554" s="20">
        <v>262263</v>
      </c>
      <c r="C554" s="32">
        <v>42857</v>
      </c>
      <c r="D554" s="20" t="s">
        <v>255</v>
      </c>
      <c r="E554" s="20">
        <v>6</v>
      </c>
      <c r="F554" s="20">
        <v>6</v>
      </c>
      <c r="G554" s="20">
        <v>8</v>
      </c>
      <c r="H554" s="20">
        <v>10</v>
      </c>
      <c r="I554" s="20">
        <v>10</v>
      </c>
      <c r="J554" s="20">
        <v>13</v>
      </c>
      <c r="K554" s="20">
        <v>16</v>
      </c>
      <c r="L554" s="20">
        <v>18</v>
      </c>
      <c r="M554" s="20">
        <v>19</v>
      </c>
      <c r="N554" s="20">
        <v>20</v>
      </c>
      <c r="O554" s="20">
        <v>31</v>
      </c>
      <c r="Q554">
        <f t="shared" si="8"/>
        <v>151</v>
      </c>
    </row>
    <row r="555" spans="1:17" x14ac:dyDescent="0.3">
      <c r="A555" s="20" t="s">
        <v>89</v>
      </c>
      <c r="B555" s="20">
        <v>262776</v>
      </c>
      <c r="C555" s="32">
        <v>42857</v>
      </c>
      <c r="D555" s="20" t="s">
        <v>253</v>
      </c>
      <c r="E555" s="20">
        <v>180</v>
      </c>
      <c r="F555" s="20">
        <v>180</v>
      </c>
      <c r="G555" s="20">
        <v>187</v>
      </c>
      <c r="H555" s="20">
        <v>188</v>
      </c>
      <c r="I555" s="20">
        <v>188</v>
      </c>
      <c r="J555" s="20">
        <v>188</v>
      </c>
      <c r="K555" s="20">
        <v>188</v>
      </c>
      <c r="L555" s="20">
        <v>188</v>
      </c>
      <c r="M555" s="20">
        <v>188</v>
      </c>
      <c r="N555" s="20">
        <v>188</v>
      </c>
      <c r="O555" s="20">
        <v>188</v>
      </c>
      <c r="Q555">
        <f t="shared" si="8"/>
        <v>1871</v>
      </c>
    </row>
    <row r="556" spans="1:17" x14ac:dyDescent="0.3">
      <c r="A556" s="20" t="s">
        <v>89</v>
      </c>
      <c r="B556" s="20">
        <v>262777</v>
      </c>
      <c r="C556" s="32">
        <v>42857</v>
      </c>
      <c r="D556" s="20" t="s">
        <v>255</v>
      </c>
      <c r="E556" s="20">
        <v>23</v>
      </c>
      <c r="F556" s="20">
        <v>23</v>
      </c>
      <c r="G556" s="20">
        <v>23</v>
      </c>
      <c r="H556" s="20">
        <v>29</v>
      </c>
      <c r="I556" s="20">
        <v>34</v>
      </c>
      <c r="J556" s="20">
        <v>34</v>
      </c>
      <c r="K556" s="20">
        <v>34</v>
      </c>
      <c r="L556" s="20">
        <v>34</v>
      </c>
      <c r="M556" s="20">
        <v>34</v>
      </c>
      <c r="N556" s="20">
        <v>34</v>
      </c>
      <c r="O556" s="20">
        <v>34</v>
      </c>
      <c r="Q556">
        <f t="shared" si="8"/>
        <v>313</v>
      </c>
    </row>
    <row r="557" spans="1:17" x14ac:dyDescent="0.3">
      <c r="A557" s="20" t="s">
        <v>89</v>
      </c>
      <c r="B557" s="20">
        <v>262818</v>
      </c>
      <c r="C557" s="32">
        <v>42857</v>
      </c>
      <c r="D557" s="20" t="s">
        <v>255</v>
      </c>
      <c r="E557" s="20">
        <v>20</v>
      </c>
      <c r="F557" s="20">
        <v>20</v>
      </c>
      <c r="G557" s="20">
        <v>23</v>
      </c>
      <c r="H557" s="20">
        <v>31</v>
      </c>
      <c r="I557" s="20">
        <v>31</v>
      </c>
      <c r="J557" s="20">
        <v>31</v>
      </c>
      <c r="K557" s="20">
        <v>31</v>
      </c>
      <c r="L557" s="20">
        <v>31</v>
      </c>
      <c r="M557" s="20">
        <v>31</v>
      </c>
      <c r="N557" s="20">
        <v>31</v>
      </c>
      <c r="O557" s="20">
        <v>31</v>
      </c>
      <c r="Q557">
        <f t="shared" si="8"/>
        <v>291</v>
      </c>
    </row>
    <row r="558" spans="1:17" x14ac:dyDescent="0.3">
      <c r="A558" s="20" t="s">
        <v>89</v>
      </c>
      <c r="B558" s="20">
        <v>262350</v>
      </c>
      <c r="C558" s="32">
        <v>42857</v>
      </c>
      <c r="D558" s="20" t="s">
        <v>255</v>
      </c>
      <c r="E558" s="20">
        <v>22</v>
      </c>
      <c r="F558" s="20">
        <v>22</v>
      </c>
      <c r="G558" s="20">
        <v>24</v>
      </c>
      <c r="H558" s="20">
        <v>30</v>
      </c>
      <c r="I558" s="20">
        <v>30</v>
      </c>
      <c r="J558" s="20">
        <v>30</v>
      </c>
      <c r="K558" s="20">
        <v>30</v>
      </c>
      <c r="L558" s="20">
        <v>30</v>
      </c>
      <c r="M558" s="20">
        <v>30</v>
      </c>
      <c r="N558" s="20">
        <v>30</v>
      </c>
      <c r="O558" s="20">
        <v>30</v>
      </c>
      <c r="Q558">
        <f t="shared" si="8"/>
        <v>286</v>
      </c>
    </row>
    <row r="559" spans="1:17" x14ac:dyDescent="0.3">
      <c r="A559" s="20" t="s">
        <v>89</v>
      </c>
      <c r="B559" s="20">
        <v>262361</v>
      </c>
      <c r="C559" s="32">
        <v>42857</v>
      </c>
      <c r="D559" s="20" t="s">
        <v>257</v>
      </c>
      <c r="E559" s="20">
        <v>1</v>
      </c>
      <c r="F559" s="20">
        <v>1</v>
      </c>
      <c r="G559" s="20">
        <v>2</v>
      </c>
      <c r="H559" s="20">
        <v>2</v>
      </c>
      <c r="I559" s="20">
        <v>2</v>
      </c>
      <c r="J559" s="20">
        <v>2</v>
      </c>
      <c r="K559" s="20">
        <v>2</v>
      </c>
      <c r="L559" s="20">
        <v>2</v>
      </c>
      <c r="M559" s="20">
        <v>2</v>
      </c>
      <c r="N559" s="20">
        <v>2</v>
      </c>
      <c r="O559" s="20">
        <v>2</v>
      </c>
      <c r="Q559">
        <f t="shared" si="8"/>
        <v>19</v>
      </c>
    </row>
    <row r="560" spans="1:17" x14ac:dyDescent="0.3">
      <c r="A560" s="20" t="s">
        <v>89</v>
      </c>
      <c r="B560" s="20">
        <v>261910</v>
      </c>
      <c r="C560" s="32">
        <v>42857</v>
      </c>
      <c r="D560" s="20" t="s">
        <v>253</v>
      </c>
      <c r="E560" s="20">
        <v>178</v>
      </c>
      <c r="F560" s="20">
        <v>178</v>
      </c>
      <c r="G560" s="20">
        <v>179</v>
      </c>
      <c r="H560" s="20">
        <v>179</v>
      </c>
      <c r="I560" s="20">
        <v>179</v>
      </c>
      <c r="J560" s="20">
        <v>179</v>
      </c>
      <c r="K560" s="20">
        <v>179</v>
      </c>
      <c r="L560" s="20">
        <v>179</v>
      </c>
      <c r="M560" s="20">
        <v>179</v>
      </c>
      <c r="N560" s="20">
        <v>179</v>
      </c>
      <c r="O560" s="20">
        <v>179</v>
      </c>
      <c r="Q560">
        <f t="shared" si="8"/>
        <v>1789</v>
      </c>
    </row>
    <row r="561" spans="1:17" x14ac:dyDescent="0.3">
      <c r="A561" s="20" t="s">
        <v>89</v>
      </c>
      <c r="B561" s="20">
        <v>261911</v>
      </c>
      <c r="C561" s="32">
        <v>42857</v>
      </c>
      <c r="D561" s="20" t="s">
        <v>255</v>
      </c>
      <c r="E561" s="20">
        <v>9</v>
      </c>
      <c r="F561" s="20">
        <v>9</v>
      </c>
      <c r="G561" s="20">
        <v>10</v>
      </c>
      <c r="H561" s="20">
        <v>16</v>
      </c>
      <c r="I561" s="20">
        <v>23</v>
      </c>
      <c r="J561" s="20">
        <v>28</v>
      </c>
      <c r="K561" s="20">
        <v>28</v>
      </c>
      <c r="L561" s="20">
        <v>30</v>
      </c>
      <c r="M561" s="20">
        <v>31</v>
      </c>
      <c r="N561" s="20">
        <v>31</v>
      </c>
      <c r="O561" s="20">
        <v>31</v>
      </c>
      <c r="Q561">
        <f t="shared" si="8"/>
        <v>237</v>
      </c>
    </row>
    <row r="562" spans="1:17" x14ac:dyDescent="0.3">
      <c r="A562" s="20" t="s">
        <v>89</v>
      </c>
      <c r="B562" s="20">
        <v>264606</v>
      </c>
      <c r="C562" s="32">
        <v>42857</v>
      </c>
      <c r="D562" s="20" t="s">
        <v>253</v>
      </c>
      <c r="E562" s="20">
        <v>168</v>
      </c>
      <c r="F562" s="20">
        <v>168</v>
      </c>
      <c r="G562" s="20">
        <v>172</v>
      </c>
      <c r="H562" s="20">
        <v>172</v>
      </c>
      <c r="I562" s="20">
        <v>172</v>
      </c>
      <c r="J562" s="20">
        <v>172</v>
      </c>
      <c r="K562" s="20">
        <v>172</v>
      </c>
      <c r="L562" s="20">
        <v>172</v>
      </c>
      <c r="M562" s="20">
        <v>172</v>
      </c>
      <c r="N562" s="20">
        <v>172</v>
      </c>
      <c r="O562" s="20">
        <v>172</v>
      </c>
      <c r="Q562">
        <f t="shared" si="8"/>
        <v>1716</v>
      </c>
    </row>
    <row r="563" spans="1:17" x14ac:dyDescent="0.3">
      <c r="A563" s="20" t="s">
        <v>89</v>
      </c>
      <c r="B563" s="20">
        <v>264607</v>
      </c>
      <c r="C563" s="32">
        <v>42857</v>
      </c>
      <c r="D563" s="20" t="s">
        <v>255</v>
      </c>
      <c r="E563" s="20">
        <v>18</v>
      </c>
      <c r="F563" s="20">
        <v>18</v>
      </c>
      <c r="G563" s="20">
        <v>18</v>
      </c>
      <c r="H563" s="20">
        <v>22</v>
      </c>
      <c r="I563" s="20">
        <v>23</v>
      </c>
      <c r="J563" s="20">
        <v>26</v>
      </c>
      <c r="K563" s="20">
        <v>26</v>
      </c>
      <c r="L563" s="20">
        <v>26</v>
      </c>
      <c r="M563" s="20">
        <v>26</v>
      </c>
      <c r="N563" s="20">
        <v>26</v>
      </c>
      <c r="O563" s="20">
        <v>26</v>
      </c>
      <c r="Q563">
        <f t="shared" si="8"/>
        <v>237</v>
      </c>
    </row>
    <row r="564" spans="1:17" x14ac:dyDescent="0.3">
      <c r="A564" s="20" t="s">
        <v>89</v>
      </c>
      <c r="B564" s="20">
        <v>265482</v>
      </c>
      <c r="C564" s="32">
        <v>42857</v>
      </c>
      <c r="D564" s="20" t="s">
        <v>255</v>
      </c>
      <c r="E564" s="20">
        <v>23</v>
      </c>
      <c r="F564" s="20">
        <v>23</v>
      </c>
      <c r="G564" s="20">
        <v>23</v>
      </c>
      <c r="H564" s="20">
        <v>26</v>
      </c>
      <c r="I564" s="20">
        <v>29</v>
      </c>
      <c r="J564" s="20">
        <v>29</v>
      </c>
      <c r="K564" s="20">
        <v>29</v>
      </c>
      <c r="L564" s="20">
        <v>29</v>
      </c>
      <c r="M564" s="20">
        <v>29</v>
      </c>
      <c r="N564" s="20">
        <v>29</v>
      </c>
      <c r="O564" s="20">
        <v>29</v>
      </c>
      <c r="Q564">
        <f t="shared" si="8"/>
        <v>275</v>
      </c>
    </row>
    <row r="565" spans="1:17" x14ac:dyDescent="0.3">
      <c r="A565" s="20" t="s">
        <v>89</v>
      </c>
      <c r="B565" s="20">
        <v>265485</v>
      </c>
      <c r="C565" s="32">
        <v>42857</v>
      </c>
      <c r="D565" s="20" t="s">
        <v>260</v>
      </c>
      <c r="E565" s="20">
        <v>2</v>
      </c>
      <c r="F565" s="20">
        <v>2</v>
      </c>
      <c r="G565" s="20">
        <v>4</v>
      </c>
      <c r="H565" s="20">
        <v>4</v>
      </c>
      <c r="I565" s="20">
        <v>4</v>
      </c>
      <c r="J565" s="20">
        <v>4</v>
      </c>
      <c r="K565" s="20">
        <v>4</v>
      </c>
      <c r="L565" s="20">
        <v>4</v>
      </c>
      <c r="M565" s="20">
        <v>4</v>
      </c>
      <c r="N565" s="20">
        <v>4</v>
      </c>
      <c r="O565" s="20">
        <v>4</v>
      </c>
      <c r="Q565">
        <f t="shared" si="8"/>
        <v>38</v>
      </c>
    </row>
    <row r="566" spans="1:17" x14ac:dyDescent="0.3">
      <c r="A566" s="20" t="s">
        <v>89</v>
      </c>
      <c r="B566" s="20">
        <v>267835</v>
      </c>
      <c r="C566" s="32">
        <v>42857</v>
      </c>
      <c r="D566" s="20" t="s">
        <v>259</v>
      </c>
      <c r="E566" s="20">
        <v>1</v>
      </c>
      <c r="F566" s="20">
        <v>1</v>
      </c>
      <c r="G566" s="20">
        <v>2</v>
      </c>
      <c r="H566" s="20">
        <v>2</v>
      </c>
      <c r="I566" s="20">
        <v>2</v>
      </c>
      <c r="J566" s="20">
        <v>2</v>
      </c>
      <c r="K566" s="20">
        <v>2</v>
      </c>
      <c r="L566" s="20">
        <v>2</v>
      </c>
      <c r="M566" s="20">
        <v>2</v>
      </c>
      <c r="N566" s="20">
        <v>2</v>
      </c>
      <c r="O566" s="20">
        <v>2</v>
      </c>
      <c r="Q566">
        <f t="shared" si="8"/>
        <v>19</v>
      </c>
    </row>
    <row r="567" spans="1:17" x14ac:dyDescent="0.3">
      <c r="A567" s="20" t="s">
        <v>89</v>
      </c>
      <c r="B567" s="20">
        <v>267847</v>
      </c>
      <c r="C567" s="32">
        <v>42857</v>
      </c>
      <c r="D567" s="20" t="s">
        <v>263</v>
      </c>
      <c r="E567" s="20">
        <v>1</v>
      </c>
      <c r="F567" s="20">
        <v>1</v>
      </c>
      <c r="G567" s="20">
        <v>1</v>
      </c>
      <c r="H567" s="20">
        <v>3</v>
      </c>
      <c r="I567" s="20">
        <v>3</v>
      </c>
      <c r="J567" s="20">
        <v>3</v>
      </c>
      <c r="K567" s="20">
        <v>3</v>
      </c>
      <c r="L567" s="20">
        <v>3</v>
      </c>
      <c r="M567" s="20">
        <v>3</v>
      </c>
      <c r="N567" s="20">
        <v>3</v>
      </c>
      <c r="O567" s="20">
        <v>3</v>
      </c>
      <c r="Q567">
        <f t="shared" si="8"/>
        <v>26</v>
      </c>
    </row>
    <row r="568" spans="1:17" x14ac:dyDescent="0.3">
      <c r="A568" s="20" t="s">
        <v>89</v>
      </c>
      <c r="B568" s="20">
        <v>266256</v>
      </c>
      <c r="C568" s="32">
        <v>42857</v>
      </c>
      <c r="D568" s="20" t="s">
        <v>253</v>
      </c>
      <c r="E568" s="20">
        <v>63</v>
      </c>
      <c r="F568" s="20">
        <v>63</v>
      </c>
      <c r="G568" s="20">
        <v>75</v>
      </c>
      <c r="H568" s="20">
        <v>110</v>
      </c>
      <c r="I568" s="20">
        <v>135</v>
      </c>
      <c r="J568" s="20">
        <v>135</v>
      </c>
      <c r="K568" s="20">
        <v>135</v>
      </c>
      <c r="L568" s="20">
        <v>135</v>
      </c>
      <c r="M568" s="20">
        <v>135</v>
      </c>
      <c r="N568" s="20">
        <v>135</v>
      </c>
      <c r="O568" s="20">
        <v>135</v>
      </c>
      <c r="Q568">
        <f t="shared" si="8"/>
        <v>1193</v>
      </c>
    </row>
    <row r="569" spans="1:17" x14ac:dyDescent="0.3">
      <c r="A569" s="20" t="s">
        <v>89</v>
      </c>
      <c r="B569" s="20">
        <v>266257</v>
      </c>
      <c r="C569" s="32">
        <v>42857</v>
      </c>
      <c r="D569" s="20" t="s">
        <v>255</v>
      </c>
      <c r="E569" s="20">
        <v>7</v>
      </c>
      <c r="F569" s="20">
        <v>7</v>
      </c>
      <c r="G569" s="20">
        <v>8</v>
      </c>
      <c r="H569" s="20">
        <v>15</v>
      </c>
      <c r="I569" s="20">
        <v>22</v>
      </c>
      <c r="J569" s="20">
        <v>24</v>
      </c>
      <c r="K569" s="20">
        <v>25</v>
      </c>
      <c r="L569" s="20">
        <v>25</v>
      </c>
      <c r="M569" s="20">
        <v>25</v>
      </c>
      <c r="N569" s="20">
        <v>25</v>
      </c>
      <c r="O569" s="20">
        <v>25</v>
      </c>
      <c r="Q569">
        <f t="shared" si="8"/>
        <v>201</v>
      </c>
    </row>
    <row r="570" spans="1:17" x14ac:dyDescent="0.3">
      <c r="A570" s="20" t="s">
        <v>89</v>
      </c>
      <c r="B570" s="20">
        <v>267309</v>
      </c>
      <c r="C570" s="32">
        <v>42857</v>
      </c>
      <c r="D570" s="20" t="s">
        <v>253</v>
      </c>
      <c r="E570" s="20">
        <v>10</v>
      </c>
      <c r="F570" s="20">
        <v>10</v>
      </c>
      <c r="G570" s="20">
        <v>12</v>
      </c>
      <c r="H570" s="20">
        <v>18</v>
      </c>
      <c r="I570" s="20">
        <v>101</v>
      </c>
      <c r="J570" s="20">
        <v>166</v>
      </c>
      <c r="K570" s="20">
        <v>169</v>
      </c>
      <c r="L570" s="20">
        <v>169</v>
      </c>
      <c r="M570" s="20">
        <v>169</v>
      </c>
      <c r="N570" s="20">
        <v>169</v>
      </c>
      <c r="O570" s="20">
        <v>169</v>
      </c>
      <c r="Q570">
        <f t="shared" si="8"/>
        <v>1152</v>
      </c>
    </row>
    <row r="571" spans="1:17" x14ac:dyDescent="0.3">
      <c r="A571" s="20" t="s">
        <v>89</v>
      </c>
      <c r="B571" s="20">
        <v>267310</v>
      </c>
      <c r="C571" s="32">
        <v>42857</v>
      </c>
      <c r="D571" s="20" t="s">
        <v>255</v>
      </c>
      <c r="E571" s="20">
        <v>10</v>
      </c>
      <c r="F571" s="20">
        <v>10</v>
      </c>
      <c r="G571" s="20">
        <v>14</v>
      </c>
      <c r="H571" s="20">
        <v>23</v>
      </c>
      <c r="I571" s="20">
        <v>25</v>
      </c>
      <c r="J571" s="20">
        <v>25</v>
      </c>
      <c r="K571" s="20">
        <v>25</v>
      </c>
      <c r="L571" s="20">
        <v>25</v>
      </c>
      <c r="M571" s="20">
        <v>25</v>
      </c>
      <c r="N571" s="20">
        <v>25</v>
      </c>
      <c r="O571" s="20">
        <v>25</v>
      </c>
      <c r="Q571">
        <f t="shared" si="8"/>
        <v>222</v>
      </c>
    </row>
    <row r="572" spans="1:17" x14ac:dyDescent="0.3">
      <c r="A572" s="20" t="s">
        <v>89</v>
      </c>
      <c r="B572" s="20">
        <v>266264</v>
      </c>
      <c r="C572" s="32">
        <v>42857</v>
      </c>
      <c r="D572" s="20" t="s">
        <v>258</v>
      </c>
      <c r="E572" s="20">
        <v>3</v>
      </c>
      <c r="F572" s="20">
        <v>3</v>
      </c>
      <c r="G572" s="20">
        <v>4</v>
      </c>
      <c r="H572" s="20">
        <v>5</v>
      </c>
      <c r="I572" s="20">
        <v>6</v>
      </c>
      <c r="J572" s="20">
        <v>6</v>
      </c>
      <c r="K572" s="20">
        <v>6</v>
      </c>
      <c r="L572" s="20">
        <v>6</v>
      </c>
      <c r="M572" s="20">
        <v>6</v>
      </c>
      <c r="N572" s="20">
        <v>6</v>
      </c>
      <c r="O572" s="20">
        <v>6</v>
      </c>
      <c r="Q572">
        <f t="shared" si="8"/>
        <v>54</v>
      </c>
    </row>
    <row r="573" spans="1:17" x14ac:dyDescent="0.3">
      <c r="A573" s="20" t="s">
        <v>89</v>
      </c>
      <c r="B573" s="20">
        <v>266887</v>
      </c>
      <c r="C573" s="32">
        <v>42857</v>
      </c>
      <c r="D573" s="20" t="s">
        <v>255</v>
      </c>
      <c r="E573" s="20">
        <v>23</v>
      </c>
      <c r="F573" s="20">
        <v>23</v>
      </c>
      <c r="G573" s="20">
        <v>26</v>
      </c>
      <c r="H573" s="20">
        <v>30</v>
      </c>
      <c r="I573" s="20">
        <v>33</v>
      </c>
      <c r="J573" s="20">
        <v>33</v>
      </c>
      <c r="K573" s="20">
        <v>33</v>
      </c>
      <c r="L573" s="20">
        <v>33</v>
      </c>
      <c r="M573" s="20">
        <v>33</v>
      </c>
      <c r="N573" s="20">
        <v>33</v>
      </c>
      <c r="O573" s="20">
        <v>33</v>
      </c>
      <c r="Q573">
        <f t="shared" si="8"/>
        <v>310</v>
      </c>
    </row>
    <row r="574" spans="1:17" x14ac:dyDescent="0.3">
      <c r="A574" s="20" t="s">
        <v>89</v>
      </c>
      <c r="B574" s="20">
        <v>267992</v>
      </c>
      <c r="C574" s="32">
        <v>42857</v>
      </c>
      <c r="D574" s="20" t="s">
        <v>256</v>
      </c>
      <c r="E574" s="20">
        <v>1</v>
      </c>
      <c r="F574" s="20">
        <v>1</v>
      </c>
      <c r="G574" s="20">
        <v>2</v>
      </c>
      <c r="H574" s="20">
        <v>2</v>
      </c>
      <c r="I574" s="20">
        <v>2</v>
      </c>
      <c r="J574" s="20">
        <v>2</v>
      </c>
      <c r="K574" s="20">
        <v>2</v>
      </c>
      <c r="L574" s="20">
        <v>2</v>
      </c>
      <c r="M574" s="20">
        <v>2</v>
      </c>
      <c r="N574" s="20">
        <v>2</v>
      </c>
      <c r="O574" s="20">
        <v>2</v>
      </c>
      <c r="Q574">
        <f t="shared" si="8"/>
        <v>19</v>
      </c>
    </row>
    <row r="575" spans="1:17" x14ac:dyDescent="0.3">
      <c r="A575" s="20" t="s">
        <v>89</v>
      </c>
      <c r="B575" s="20">
        <v>266396</v>
      </c>
      <c r="C575" s="32">
        <v>42857</v>
      </c>
      <c r="D575" s="20" t="s">
        <v>256</v>
      </c>
      <c r="E575" s="20">
        <v>1</v>
      </c>
      <c r="F575" s="20">
        <v>1</v>
      </c>
      <c r="G575" s="20">
        <v>1</v>
      </c>
      <c r="H575" s="20">
        <v>2</v>
      </c>
      <c r="I575" s="20">
        <v>2</v>
      </c>
      <c r="J575" s="20">
        <v>2</v>
      </c>
      <c r="K575" s="20">
        <v>2</v>
      </c>
      <c r="L575" s="20">
        <v>2</v>
      </c>
      <c r="M575" s="20">
        <v>2</v>
      </c>
      <c r="N575" s="20">
        <v>2</v>
      </c>
      <c r="O575" s="20">
        <v>2</v>
      </c>
      <c r="Q575">
        <f t="shared" si="8"/>
        <v>18</v>
      </c>
    </row>
    <row r="576" spans="1:17" x14ac:dyDescent="0.3">
      <c r="A576" s="20" t="s">
        <v>89</v>
      </c>
      <c r="B576" s="20">
        <v>266530</v>
      </c>
      <c r="C576" s="32">
        <v>42857</v>
      </c>
      <c r="D576" s="20" t="s">
        <v>258</v>
      </c>
      <c r="E576" s="20">
        <v>1</v>
      </c>
      <c r="F576" s="20">
        <v>1</v>
      </c>
      <c r="G576" s="20">
        <v>1</v>
      </c>
      <c r="H576" s="20">
        <v>2</v>
      </c>
      <c r="I576" s="20">
        <v>2</v>
      </c>
      <c r="J576" s="20">
        <v>2</v>
      </c>
      <c r="K576" s="20">
        <v>2</v>
      </c>
      <c r="L576" s="20">
        <v>2</v>
      </c>
      <c r="M576" s="20">
        <v>2</v>
      </c>
      <c r="N576" s="20">
        <v>2</v>
      </c>
      <c r="O576" s="20">
        <v>2</v>
      </c>
      <c r="Q576">
        <f t="shared" si="8"/>
        <v>18</v>
      </c>
    </row>
    <row r="577" spans="1:17" x14ac:dyDescent="0.3">
      <c r="A577" s="20" t="s">
        <v>89</v>
      </c>
      <c r="B577" s="20">
        <v>267628</v>
      </c>
      <c r="C577" s="32">
        <v>42857</v>
      </c>
      <c r="D577" s="20" t="s">
        <v>253</v>
      </c>
      <c r="E577" s="20">
        <v>77</v>
      </c>
      <c r="F577" s="20">
        <v>77</v>
      </c>
      <c r="G577" s="20">
        <v>91</v>
      </c>
      <c r="H577" s="20">
        <v>139</v>
      </c>
      <c r="I577" s="20">
        <v>151</v>
      </c>
      <c r="J577" s="20">
        <v>151</v>
      </c>
      <c r="K577" s="20">
        <v>151</v>
      </c>
      <c r="L577" s="20">
        <v>151</v>
      </c>
      <c r="M577" s="20">
        <v>151</v>
      </c>
      <c r="N577" s="20">
        <v>151</v>
      </c>
      <c r="O577" s="20">
        <v>151</v>
      </c>
      <c r="Q577">
        <f t="shared" si="8"/>
        <v>1364</v>
      </c>
    </row>
    <row r="578" spans="1:17" x14ac:dyDescent="0.3">
      <c r="A578" s="20" t="s">
        <v>89</v>
      </c>
      <c r="B578" s="20">
        <v>267629</v>
      </c>
      <c r="C578" s="32">
        <v>42857</v>
      </c>
      <c r="D578" s="20" t="s">
        <v>255</v>
      </c>
      <c r="E578" s="20">
        <v>1</v>
      </c>
      <c r="F578" s="20">
        <v>1</v>
      </c>
      <c r="G578" s="20">
        <v>2</v>
      </c>
      <c r="H578" s="20">
        <v>9</v>
      </c>
      <c r="I578" s="20">
        <v>9</v>
      </c>
      <c r="J578" s="20">
        <v>13</v>
      </c>
      <c r="K578" s="20">
        <v>13</v>
      </c>
      <c r="L578" s="20">
        <v>18</v>
      </c>
      <c r="M578" s="20">
        <v>21</v>
      </c>
      <c r="N578" s="20">
        <v>25</v>
      </c>
      <c r="O578" s="20">
        <v>26</v>
      </c>
      <c r="Q578">
        <f t="shared" si="8"/>
        <v>137</v>
      </c>
    </row>
    <row r="579" spans="1:17" x14ac:dyDescent="0.3">
      <c r="A579" s="20" t="s">
        <v>89</v>
      </c>
      <c r="B579" s="20">
        <v>266596</v>
      </c>
      <c r="C579" s="32">
        <v>42857</v>
      </c>
      <c r="D579" s="20" t="s">
        <v>253</v>
      </c>
      <c r="E579" s="20">
        <v>104</v>
      </c>
      <c r="F579" s="20">
        <v>104</v>
      </c>
      <c r="G579" s="20">
        <v>106</v>
      </c>
      <c r="H579" s="20">
        <v>118</v>
      </c>
      <c r="I579" s="20">
        <v>136</v>
      </c>
      <c r="J579" s="20">
        <v>136</v>
      </c>
      <c r="K579" s="20">
        <v>136</v>
      </c>
      <c r="L579" s="20">
        <v>136</v>
      </c>
      <c r="M579" s="20">
        <v>136</v>
      </c>
      <c r="N579" s="20">
        <v>136</v>
      </c>
      <c r="O579" s="20">
        <v>136</v>
      </c>
      <c r="Q579">
        <f t="shared" ref="Q579:Q627" si="9">SUM(F579:O579)</f>
        <v>1280</v>
      </c>
    </row>
    <row r="580" spans="1:17" x14ac:dyDescent="0.3">
      <c r="A580" s="20" t="s">
        <v>89</v>
      </c>
      <c r="B580" s="20">
        <v>266597</v>
      </c>
      <c r="C580" s="32">
        <v>42857</v>
      </c>
      <c r="D580" s="20" t="s">
        <v>255</v>
      </c>
      <c r="E580" s="20">
        <v>13</v>
      </c>
      <c r="F580" s="20">
        <v>13</v>
      </c>
      <c r="G580" s="20">
        <v>15</v>
      </c>
      <c r="H580" s="20">
        <v>19</v>
      </c>
      <c r="I580" s="20">
        <v>21</v>
      </c>
      <c r="J580" s="20">
        <v>21</v>
      </c>
      <c r="K580" s="20">
        <v>21</v>
      </c>
      <c r="L580" s="20">
        <v>21</v>
      </c>
      <c r="M580" s="20">
        <v>21</v>
      </c>
      <c r="N580" s="20">
        <v>21</v>
      </c>
      <c r="O580" s="20">
        <v>21</v>
      </c>
      <c r="Q580">
        <f t="shared" si="9"/>
        <v>194</v>
      </c>
    </row>
    <row r="581" spans="1:17" x14ac:dyDescent="0.3">
      <c r="A581" s="20" t="s">
        <v>89</v>
      </c>
      <c r="B581" s="20">
        <v>267111</v>
      </c>
      <c r="C581" s="32">
        <v>42857</v>
      </c>
      <c r="D581" s="20" t="s">
        <v>253</v>
      </c>
      <c r="E581" s="20">
        <v>1</v>
      </c>
      <c r="F581" s="20">
        <v>1</v>
      </c>
      <c r="G581" s="20">
        <v>10</v>
      </c>
      <c r="H581" s="20">
        <v>67</v>
      </c>
      <c r="I581" s="20">
        <v>95</v>
      </c>
      <c r="J581" s="20">
        <v>104</v>
      </c>
      <c r="K581" s="20">
        <v>117</v>
      </c>
      <c r="L581" s="20">
        <v>130</v>
      </c>
      <c r="M581" s="20">
        <v>163</v>
      </c>
      <c r="N581" s="20">
        <v>163</v>
      </c>
      <c r="O581" s="20">
        <v>163</v>
      </c>
      <c r="Q581">
        <f t="shared" si="9"/>
        <v>1013</v>
      </c>
    </row>
    <row r="582" spans="1:17" x14ac:dyDescent="0.3">
      <c r="A582" s="20" t="s">
        <v>89</v>
      </c>
      <c r="B582" s="20">
        <v>267112</v>
      </c>
      <c r="C582" s="32">
        <v>42857</v>
      </c>
      <c r="D582" s="20" t="s">
        <v>255</v>
      </c>
      <c r="E582" s="20">
        <v>11</v>
      </c>
      <c r="F582" s="20">
        <v>11</v>
      </c>
      <c r="G582" s="20">
        <v>15</v>
      </c>
      <c r="H582" s="20">
        <v>17</v>
      </c>
      <c r="I582" s="20">
        <v>17</v>
      </c>
      <c r="J582" s="20">
        <v>19</v>
      </c>
      <c r="K582" s="20">
        <v>22</v>
      </c>
      <c r="L582" s="20">
        <v>24</v>
      </c>
      <c r="M582" s="20">
        <v>25</v>
      </c>
      <c r="N582" s="20">
        <v>25</v>
      </c>
      <c r="O582" s="20">
        <v>25</v>
      </c>
      <c r="Q582">
        <f t="shared" si="9"/>
        <v>200</v>
      </c>
    </row>
    <row r="583" spans="1:17" x14ac:dyDescent="0.3">
      <c r="A583" s="20" t="s">
        <v>89</v>
      </c>
      <c r="B583" s="20">
        <v>267743</v>
      </c>
      <c r="C583" s="32">
        <v>42857</v>
      </c>
      <c r="D583" s="20" t="s">
        <v>253</v>
      </c>
      <c r="E583" s="20">
        <v>136</v>
      </c>
      <c r="F583" s="20">
        <v>136</v>
      </c>
      <c r="G583" s="20">
        <v>137</v>
      </c>
      <c r="H583" s="20">
        <v>142</v>
      </c>
      <c r="I583" s="20">
        <v>143</v>
      </c>
      <c r="J583" s="20">
        <v>143</v>
      </c>
      <c r="K583" s="20">
        <v>143</v>
      </c>
      <c r="L583" s="20">
        <v>143</v>
      </c>
      <c r="M583" s="20">
        <v>143</v>
      </c>
      <c r="N583" s="20">
        <v>143</v>
      </c>
      <c r="O583" s="20">
        <v>143</v>
      </c>
      <c r="Q583">
        <f t="shared" si="9"/>
        <v>1416</v>
      </c>
    </row>
    <row r="584" spans="1:17" x14ac:dyDescent="0.3">
      <c r="A584" s="20" t="s">
        <v>89</v>
      </c>
      <c r="B584" s="20">
        <v>267744</v>
      </c>
      <c r="C584" s="32">
        <v>42857</v>
      </c>
      <c r="D584" s="20" t="s">
        <v>255</v>
      </c>
      <c r="E584" s="20">
        <v>26</v>
      </c>
      <c r="F584" s="20">
        <v>26</v>
      </c>
      <c r="G584" s="20">
        <v>28</v>
      </c>
      <c r="H584" s="20">
        <v>34</v>
      </c>
      <c r="I584" s="20">
        <v>35</v>
      </c>
      <c r="J584" s="20">
        <v>35</v>
      </c>
      <c r="K584" s="20">
        <v>35</v>
      </c>
      <c r="L584" s="20">
        <v>35</v>
      </c>
      <c r="M584" s="20">
        <v>35</v>
      </c>
      <c r="N584" s="20">
        <v>35</v>
      </c>
      <c r="O584" s="20">
        <v>35</v>
      </c>
      <c r="Q584">
        <f t="shared" si="9"/>
        <v>333</v>
      </c>
    </row>
    <row r="585" spans="1:17" x14ac:dyDescent="0.3">
      <c r="A585" s="20" t="s">
        <v>89</v>
      </c>
      <c r="B585" s="20">
        <v>268007</v>
      </c>
      <c r="C585" s="32">
        <v>42857</v>
      </c>
      <c r="D585" s="20" t="s">
        <v>253</v>
      </c>
      <c r="E585" s="20">
        <v>28</v>
      </c>
      <c r="F585" s="20">
        <v>28</v>
      </c>
      <c r="G585" s="20">
        <v>42</v>
      </c>
      <c r="H585" s="20">
        <v>78</v>
      </c>
      <c r="I585" s="20">
        <v>88</v>
      </c>
      <c r="J585" s="20">
        <v>111</v>
      </c>
      <c r="K585" s="20">
        <v>135</v>
      </c>
      <c r="L585" s="20">
        <v>145</v>
      </c>
      <c r="M585" s="20">
        <v>145</v>
      </c>
      <c r="N585" s="20">
        <v>145</v>
      </c>
      <c r="O585" s="20">
        <v>145</v>
      </c>
      <c r="Q585">
        <f t="shared" si="9"/>
        <v>1062</v>
      </c>
    </row>
    <row r="586" spans="1:17" x14ac:dyDescent="0.3">
      <c r="A586" s="20" t="s">
        <v>89</v>
      </c>
      <c r="B586" s="20">
        <v>268008</v>
      </c>
      <c r="C586" s="32">
        <v>42857</v>
      </c>
      <c r="D586" s="20" t="s">
        <v>255</v>
      </c>
      <c r="E586" s="20">
        <v>8</v>
      </c>
      <c r="F586" s="20">
        <v>8</v>
      </c>
      <c r="G586" s="20">
        <v>12</v>
      </c>
      <c r="H586" s="20">
        <v>19</v>
      </c>
      <c r="I586" s="20">
        <v>22</v>
      </c>
      <c r="J586" s="20">
        <v>24</v>
      </c>
      <c r="K586" s="20">
        <v>24</v>
      </c>
      <c r="L586" s="20">
        <v>24</v>
      </c>
      <c r="M586" s="20">
        <v>24</v>
      </c>
      <c r="N586" s="20">
        <v>24</v>
      </c>
      <c r="O586" s="20">
        <v>24</v>
      </c>
      <c r="Q586">
        <f t="shared" si="9"/>
        <v>205</v>
      </c>
    </row>
    <row r="587" spans="1:17" x14ac:dyDescent="0.3">
      <c r="A587" s="20" t="s">
        <v>89</v>
      </c>
      <c r="B587" s="20">
        <v>268916</v>
      </c>
      <c r="C587" s="32">
        <v>42857</v>
      </c>
      <c r="D587" s="20" t="s">
        <v>253</v>
      </c>
      <c r="E587" s="20">
        <v>10</v>
      </c>
      <c r="F587" s="20">
        <v>10</v>
      </c>
      <c r="G587" s="20">
        <v>21</v>
      </c>
      <c r="H587" s="20">
        <v>30</v>
      </c>
      <c r="I587" s="20">
        <v>54</v>
      </c>
      <c r="J587" s="20">
        <v>71</v>
      </c>
      <c r="K587" s="20">
        <v>98</v>
      </c>
      <c r="L587" s="20">
        <v>119</v>
      </c>
      <c r="M587" s="20">
        <v>124</v>
      </c>
      <c r="N587" s="20">
        <v>124</v>
      </c>
      <c r="O587" s="20">
        <v>124</v>
      </c>
      <c r="Q587">
        <f t="shared" si="9"/>
        <v>775</v>
      </c>
    </row>
    <row r="588" spans="1:17" x14ac:dyDescent="0.3">
      <c r="A588" s="20" t="s">
        <v>89</v>
      </c>
      <c r="B588" s="20">
        <v>268917</v>
      </c>
      <c r="C588" s="32">
        <v>42857</v>
      </c>
      <c r="D588" s="20" t="s">
        <v>255</v>
      </c>
      <c r="E588" s="20">
        <v>11</v>
      </c>
      <c r="F588" s="20">
        <v>11</v>
      </c>
      <c r="G588" s="20">
        <v>13</v>
      </c>
      <c r="H588" s="20">
        <v>20</v>
      </c>
      <c r="I588" s="20">
        <v>20</v>
      </c>
      <c r="J588" s="20">
        <v>21</v>
      </c>
      <c r="K588" s="20">
        <v>21</v>
      </c>
      <c r="L588" s="20">
        <v>21</v>
      </c>
      <c r="M588" s="20">
        <v>21</v>
      </c>
      <c r="N588" s="20">
        <v>21</v>
      </c>
      <c r="O588" s="20">
        <v>21</v>
      </c>
      <c r="Q588">
        <f t="shared" si="9"/>
        <v>190</v>
      </c>
    </row>
    <row r="589" spans="1:17" x14ac:dyDescent="0.3">
      <c r="A589" s="20" t="s">
        <v>89</v>
      </c>
      <c r="B589" s="20">
        <v>268950</v>
      </c>
      <c r="C589" s="32">
        <v>42857</v>
      </c>
      <c r="D589" s="20" t="s">
        <v>258</v>
      </c>
      <c r="E589" s="20">
        <v>1</v>
      </c>
      <c r="F589" s="20">
        <v>1</v>
      </c>
      <c r="G589" s="20">
        <v>1</v>
      </c>
      <c r="H589" s="20">
        <v>3</v>
      </c>
      <c r="I589" s="20">
        <v>3</v>
      </c>
      <c r="J589" s="20">
        <v>3</v>
      </c>
      <c r="K589" s="20">
        <v>3</v>
      </c>
      <c r="L589" s="20">
        <v>3</v>
      </c>
      <c r="M589" s="20">
        <v>3</v>
      </c>
      <c r="N589" s="20">
        <v>3</v>
      </c>
      <c r="O589" s="20">
        <v>3</v>
      </c>
      <c r="Q589">
        <f t="shared" si="9"/>
        <v>26</v>
      </c>
    </row>
    <row r="590" spans="1:17" x14ac:dyDescent="0.3">
      <c r="A590" s="20" t="s">
        <v>89</v>
      </c>
      <c r="B590" s="20">
        <v>268171</v>
      </c>
      <c r="C590" s="32">
        <v>42857</v>
      </c>
      <c r="D590" s="20" t="s">
        <v>255</v>
      </c>
      <c r="E590" s="20">
        <v>14</v>
      </c>
      <c r="F590" s="20">
        <v>14</v>
      </c>
      <c r="G590" s="20">
        <v>18</v>
      </c>
      <c r="H590" s="20">
        <v>24</v>
      </c>
      <c r="I590" s="20">
        <v>26</v>
      </c>
      <c r="J590" s="20">
        <v>26</v>
      </c>
      <c r="K590" s="20">
        <v>26</v>
      </c>
      <c r="L590" s="20">
        <v>26</v>
      </c>
      <c r="M590" s="20">
        <v>26</v>
      </c>
      <c r="N590" s="20">
        <v>26</v>
      </c>
      <c r="O590" s="20">
        <v>26</v>
      </c>
      <c r="Q590">
        <f t="shared" si="9"/>
        <v>238</v>
      </c>
    </row>
    <row r="591" spans="1:17" x14ac:dyDescent="0.3">
      <c r="A591" s="20" t="s">
        <v>89</v>
      </c>
      <c r="B591" s="20">
        <v>261438</v>
      </c>
      <c r="C591" s="32">
        <v>42857</v>
      </c>
      <c r="D591" s="20" t="s">
        <v>255</v>
      </c>
      <c r="E591" s="20">
        <v>8</v>
      </c>
      <c r="F591" s="20">
        <v>8</v>
      </c>
      <c r="G591" s="20">
        <v>8</v>
      </c>
      <c r="H591" s="20">
        <v>16</v>
      </c>
      <c r="I591" s="20">
        <v>26</v>
      </c>
      <c r="J591" s="20">
        <v>31</v>
      </c>
      <c r="K591" s="20">
        <v>32</v>
      </c>
      <c r="L591" s="20">
        <v>32</v>
      </c>
      <c r="M591" s="20">
        <v>32</v>
      </c>
      <c r="N591" s="20">
        <v>32</v>
      </c>
      <c r="O591" s="20">
        <v>32</v>
      </c>
      <c r="Q591">
        <f t="shared" si="9"/>
        <v>249</v>
      </c>
    </row>
    <row r="592" spans="1:17" x14ac:dyDescent="0.3">
      <c r="A592" s="20" t="s">
        <v>89</v>
      </c>
      <c r="B592" s="20">
        <v>252991</v>
      </c>
      <c r="C592" s="32">
        <v>42856</v>
      </c>
      <c r="D592" s="20" t="s">
        <v>253</v>
      </c>
      <c r="E592" s="20">
        <v>117</v>
      </c>
      <c r="F592" s="20">
        <v>117</v>
      </c>
      <c r="G592" s="20">
        <v>126</v>
      </c>
      <c r="H592" s="20">
        <v>143</v>
      </c>
      <c r="I592" s="20">
        <v>156</v>
      </c>
      <c r="J592" s="20">
        <v>156</v>
      </c>
      <c r="K592" s="20">
        <v>156</v>
      </c>
      <c r="L592" s="20">
        <v>156</v>
      </c>
      <c r="M592" s="20">
        <v>156</v>
      </c>
      <c r="N592" s="20">
        <v>156</v>
      </c>
      <c r="O592" s="20">
        <v>156</v>
      </c>
      <c r="Q592">
        <f t="shared" si="9"/>
        <v>1478</v>
      </c>
    </row>
    <row r="593" spans="1:17" x14ac:dyDescent="0.3">
      <c r="A593" s="20" t="s">
        <v>89</v>
      </c>
      <c r="B593" s="20">
        <v>260687</v>
      </c>
      <c r="C593" s="32">
        <v>42856</v>
      </c>
      <c r="D593" s="20" t="s">
        <v>258</v>
      </c>
      <c r="E593" s="20">
        <v>2</v>
      </c>
      <c r="F593" s="20">
        <v>3</v>
      </c>
      <c r="G593" s="20">
        <v>3</v>
      </c>
      <c r="H593" s="20">
        <v>4</v>
      </c>
      <c r="I593" s="20">
        <v>5</v>
      </c>
      <c r="J593" s="20">
        <v>5</v>
      </c>
      <c r="K593" s="20">
        <v>5</v>
      </c>
      <c r="L593" s="20">
        <v>5</v>
      </c>
      <c r="M593" s="20">
        <v>5</v>
      </c>
      <c r="N593" s="20">
        <v>5</v>
      </c>
      <c r="O593" s="20">
        <v>5</v>
      </c>
      <c r="Q593">
        <f t="shared" si="9"/>
        <v>45</v>
      </c>
    </row>
    <row r="594" spans="1:17" x14ac:dyDescent="0.3">
      <c r="A594" s="20" t="s">
        <v>89</v>
      </c>
      <c r="B594" s="20">
        <v>252301</v>
      </c>
      <c r="C594" s="32">
        <v>42856</v>
      </c>
      <c r="D594" s="20" t="s">
        <v>253</v>
      </c>
      <c r="E594" s="20">
        <v>58</v>
      </c>
      <c r="F594" s="20">
        <v>58</v>
      </c>
      <c r="G594" s="20">
        <v>69</v>
      </c>
      <c r="H594" s="20">
        <v>82</v>
      </c>
      <c r="I594" s="20">
        <v>101</v>
      </c>
      <c r="J594" s="20">
        <v>105</v>
      </c>
      <c r="K594" s="20">
        <v>127</v>
      </c>
      <c r="L594" s="20">
        <v>142</v>
      </c>
      <c r="M594" s="20">
        <v>144</v>
      </c>
      <c r="N594" s="20">
        <v>144</v>
      </c>
      <c r="O594" s="20">
        <v>144</v>
      </c>
      <c r="Q594">
        <f t="shared" si="9"/>
        <v>1116</v>
      </c>
    </row>
    <row r="595" spans="1:17" x14ac:dyDescent="0.3">
      <c r="A595" s="20" t="s">
        <v>89</v>
      </c>
      <c r="B595" s="20">
        <v>252302</v>
      </c>
      <c r="C595" s="32">
        <v>42856</v>
      </c>
      <c r="D595" s="20" t="s">
        <v>255</v>
      </c>
      <c r="E595" s="20">
        <v>9</v>
      </c>
      <c r="F595" s="20">
        <v>9</v>
      </c>
      <c r="G595" s="20">
        <v>11</v>
      </c>
      <c r="H595" s="20">
        <v>24</v>
      </c>
      <c r="I595" s="20">
        <v>29</v>
      </c>
      <c r="J595" s="20">
        <v>31</v>
      </c>
      <c r="K595" s="20">
        <v>34</v>
      </c>
      <c r="L595" s="20">
        <v>37</v>
      </c>
      <c r="M595" s="20">
        <v>38</v>
      </c>
      <c r="N595" s="20">
        <v>38</v>
      </c>
      <c r="O595" s="20">
        <v>38</v>
      </c>
      <c r="Q595">
        <f t="shared" si="9"/>
        <v>289</v>
      </c>
    </row>
    <row r="596" spans="1:17" x14ac:dyDescent="0.3">
      <c r="A596" s="20" t="s">
        <v>89</v>
      </c>
      <c r="B596" s="20">
        <v>252306</v>
      </c>
      <c r="C596" s="32">
        <v>42856</v>
      </c>
      <c r="D596" s="20" t="s">
        <v>258</v>
      </c>
      <c r="E596" s="20">
        <v>1</v>
      </c>
      <c r="F596" s="20">
        <v>2</v>
      </c>
      <c r="G596" s="20">
        <v>2</v>
      </c>
      <c r="H596" s="20">
        <v>2</v>
      </c>
      <c r="I596" s="20">
        <v>3</v>
      </c>
      <c r="J596" s="20">
        <v>3</v>
      </c>
      <c r="K596" s="20">
        <v>3</v>
      </c>
      <c r="L596" s="20">
        <v>3</v>
      </c>
      <c r="M596" s="20">
        <v>3</v>
      </c>
      <c r="N596" s="20">
        <v>3</v>
      </c>
      <c r="O596" s="20">
        <v>3</v>
      </c>
      <c r="Q596">
        <f t="shared" si="9"/>
        <v>27</v>
      </c>
    </row>
    <row r="597" spans="1:17" x14ac:dyDescent="0.3">
      <c r="A597" s="20" t="s">
        <v>89</v>
      </c>
      <c r="B597" s="20">
        <v>252061</v>
      </c>
      <c r="C597" s="32">
        <v>42856</v>
      </c>
      <c r="D597" s="20" t="s">
        <v>255</v>
      </c>
      <c r="E597" s="20">
        <v>4</v>
      </c>
      <c r="F597" s="20">
        <v>4</v>
      </c>
      <c r="G597" s="20">
        <v>11</v>
      </c>
      <c r="H597" s="20">
        <v>17</v>
      </c>
      <c r="I597" s="20">
        <v>20</v>
      </c>
      <c r="J597" s="20">
        <v>20</v>
      </c>
      <c r="K597" s="20">
        <v>20</v>
      </c>
      <c r="L597" s="20">
        <v>20</v>
      </c>
      <c r="M597" s="20">
        <v>20</v>
      </c>
      <c r="N597" s="20">
        <v>20</v>
      </c>
      <c r="O597" s="20">
        <v>20</v>
      </c>
      <c r="Q597">
        <f t="shared" si="9"/>
        <v>172</v>
      </c>
    </row>
    <row r="598" spans="1:17" x14ac:dyDescent="0.3">
      <c r="A598" s="20" t="s">
        <v>89</v>
      </c>
      <c r="B598" s="20">
        <v>252858</v>
      </c>
      <c r="C598" s="32">
        <v>42856</v>
      </c>
      <c r="D598" s="20" t="s">
        <v>255</v>
      </c>
      <c r="E598" s="20">
        <v>19</v>
      </c>
      <c r="F598" s="20">
        <v>19</v>
      </c>
      <c r="G598" s="20">
        <v>20</v>
      </c>
      <c r="H598" s="20">
        <v>22</v>
      </c>
      <c r="I598" s="20">
        <v>23</v>
      </c>
      <c r="J598" s="20">
        <v>23</v>
      </c>
      <c r="K598" s="20">
        <v>23</v>
      </c>
      <c r="L598" s="20">
        <v>23</v>
      </c>
      <c r="M598" s="20">
        <v>23</v>
      </c>
      <c r="N598" s="20">
        <v>23</v>
      </c>
      <c r="O598" s="20">
        <v>23</v>
      </c>
      <c r="Q598">
        <f t="shared" si="9"/>
        <v>222</v>
      </c>
    </row>
    <row r="599" spans="1:17" x14ac:dyDescent="0.3">
      <c r="A599" s="20" t="s">
        <v>89</v>
      </c>
      <c r="B599" s="20">
        <v>252179</v>
      </c>
      <c r="C599" s="32">
        <v>42856</v>
      </c>
      <c r="D599" s="20" t="s">
        <v>253</v>
      </c>
      <c r="E599" s="20">
        <v>68</v>
      </c>
      <c r="F599" s="20">
        <v>68</v>
      </c>
      <c r="G599" s="20">
        <v>70</v>
      </c>
      <c r="H599" s="20">
        <v>78</v>
      </c>
      <c r="I599" s="20">
        <v>86</v>
      </c>
      <c r="J599" s="20">
        <v>113</v>
      </c>
      <c r="K599" s="20">
        <v>127</v>
      </c>
      <c r="L599" s="20">
        <v>127</v>
      </c>
      <c r="M599" s="20">
        <v>127</v>
      </c>
      <c r="N599" s="20">
        <v>127</v>
      </c>
      <c r="O599" s="20">
        <v>127</v>
      </c>
      <c r="Q599">
        <f t="shared" si="9"/>
        <v>1050</v>
      </c>
    </row>
    <row r="600" spans="1:17" x14ac:dyDescent="0.3">
      <c r="A600" s="20" t="s">
        <v>89</v>
      </c>
      <c r="B600" s="20">
        <v>252180</v>
      </c>
      <c r="C600" s="32">
        <v>42856</v>
      </c>
      <c r="D600" s="20" t="s">
        <v>255</v>
      </c>
      <c r="E600" s="20">
        <v>11</v>
      </c>
      <c r="F600" s="20">
        <v>11</v>
      </c>
      <c r="G600" s="20">
        <v>12</v>
      </c>
      <c r="H600" s="20">
        <v>17</v>
      </c>
      <c r="I600" s="20">
        <v>19</v>
      </c>
      <c r="J600" s="20">
        <v>19</v>
      </c>
      <c r="K600" s="20">
        <v>20</v>
      </c>
      <c r="L600" s="20">
        <v>20</v>
      </c>
      <c r="M600" s="20">
        <v>20</v>
      </c>
      <c r="N600" s="20">
        <v>20</v>
      </c>
      <c r="O600" s="20">
        <v>20</v>
      </c>
      <c r="Q600">
        <f t="shared" si="9"/>
        <v>178</v>
      </c>
    </row>
    <row r="601" spans="1:17" x14ac:dyDescent="0.3">
      <c r="A601" s="20" t="s">
        <v>89</v>
      </c>
      <c r="B601" s="20">
        <v>252181</v>
      </c>
      <c r="C601" s="32">
        <v>42856</v>
      </c>
      <c r="D601" s="20" t="s">
        <v>256</v>
      </c>
      <c r="E601" s="20">
        <v>1</v>
      </c>
      <c r="F601" s="20">
        <v>1</v>
      </c>
      <c r="G601" s="20">
        <v>1</v>
      </c>
      <c r="H601" s="20">
        <v>2</v>
      </c>
      <c r="I601" s="20">
        <v>2</v>
      </c>
      <c r="J601" s="20">
        <v>2</v>
      </c>
      <c r="K601" s="20">
        <v>2</v>
      </c>
      <c r="L601" s="20">
        <v>2</v>
      </c>
      <c r="M601" s="20">
        <v>2</v>
      </c>
      <c r="N601" s="20">
        <v>2</v>
      </c>
      <c r="O601" s="20">
        <v>2</v>
      </c>
      <c r="Q601">
        <f t="shared" si="9"/>
        <v>18</v>
      </c>
    </row>
    <row r="602" spans="1:17" x14ac:dyDescent="0.3">
      <c r="A602" s="20" t="s">
        <v>89</v>
      </c>
      <c r="B602" s="20">
        <v>252186</v>
      </c>
      <c r="C602" s="32">
        <v>42856</v>
      </c>
      <c r="D602" s="20" t="s">
        <v>258</v>
      </c>
      <c r="E602" s="20">
        <v>1</v>
      </c>
      <c r="F602" s="20">
        <v>1</v>
      </c>
      <c r="G602" s="20">
        <v>1</v>
      </c>
      <c r="H602" s="20">
        <v>2</v>
      </c>
      <c r="I602" s="20">
        <v>2</v>
      </c>
      <c r="J602" s="20">
        <v>3</v>
      </c>
      <c r="K602" s="20">
        <v>3</v>
      </c>
      <c r="L602" s="20">
        <v>3</v>
      </c>
      <c r="M602" s="20">
        <v>3</v>
      </c>
      <c r="N602" s="20">
        <v>3</v>
      </c>
      <c r="O602" s="20">
        <v>3</v>
      </c>
      <c r="Q602">
        <f t="shared" si="9"/>
        <v>24</v>
      </c>
    </row>
    <row r="603" spans="1:17" x14ac:dyDescent="0.3">
      <c r="A603" s="20" t="s">
        <v>89</v>
      </c>
      <c r="B603" s="20">
        <v>256449</v>
      </c>
      <c r="C603" s="32">
        <v>42856</v>
      </c>
      <c r="D603" s="20" t="s">
        <v>258</v>
      </c>
      <c r="E603" s="20">
        <v>1</v>
      </c>
      <c r="F603" s="20">
        <v>3</v>
      </c>
      <c r="G603" s="20">
        <v>3</v>
      </c>
      <c r="H603" s="20">
        <v>3</v>
      </c>
      <c r="I603" s="20">
        <v>3</v>
      </c>
      <c r="J603" s="20">
        <v>3</v>
      </c>
      <c r="K603" s="20">
        <v>3</v>
      </c>
      <c r="L603" s="20">
        <v>3</v>
      </c>
      <c r="M603" s="20">
        <v>3</v>
      </c>
      <c r="N603" s="20">
        <v>3</v>
      </c>
      <c r="O603" s="20">
        <v>3</v>
      </c>
      <c r="Q603">
        <f t="shared" si="9"/>
        <v>30</v>
      </c>
    </row>
    <row r="604" spans="1:17" x14ac:dyDescent="0.3">
      <c r="A604" s="20" t="s">
        <v>89</v>
      </c>
      <c r="B604" s="20">
        <v>256586</v>
      </c>
      <c r="C604" s="32">
        <v>42856</v>
      </c>
      <c r="D604" s="20" t="s">
        <v>255</v>
      </c>
      <c r="E604" s="20">
        <v>9</v>
      </c>
      <c r="F604" s="20">
        <v>9</v>
      </c>
      <c r="G604" s="20">
        <v>13</v>
      </c>
      <c r="H604" s="20">
        <v>21</v>
      </c>
      <c r="I604" s="20">
        <v>24</v>
      </c>
      <c r="J604" s="20">
        <v>24</v>
      </c>
      <c r="K604" s="20">
        <v>24</v>
      </c>
      <c r="L604" s="20">
        <v>24</v>
      </c>
      <c r="M604" s="20">
        <v>24</v>
      </c>
      <c r="N604" s="20">
        <v>24</v>
      </c>
      <c r="O604" s="20">
        <v>24</v>
      </c>
      <c r="Q604">
        <f t="shared" si="9"/>
        <v>211</v>
      </c>
    </row>
    <row r="605" spans="1:17" x14ac:dyDescent="0.3">
      <c r="A605" s="20" t="s">
        <v>89</v>
      </c>
      <c r="B605" s="20">
        <v>256820</v>
      </c>
      <c r="C605" s="32">
        <v>42856</v>
      </c>
      <c r="D605" s="20" t="s">
        <v>253</v>
      </c>
      <c r="E605" s="20">
        <v>166</v>
      </c>
      <c r="F605" s="20">
        <v>166</v>
      </c>
      <c r="G605" s="20">
        <v>171</v>
      </c>
      <c r="H605" s="20">
        <v>171</v>
      </c>
      <c r="I605" s="20">
        <v>171</v>
      </c>
      <c r="J605" s="20">
        <v>171</v>
      </c>
      <c r="K605" s="20">
        <v>171</v>
      </c>
      <c r="L605" s="20">
        <v>171</v>
      </c>
      <c r="M605" s="20">
        <v>171</v>
      </c>
      <c r="N605" s="20">
        <v>171</v>
      </c>
      <c r="O605" s="20">
        <v>171</v>
      </c>
      <c r="Q605">
        <f t="shared" si="9"/>
        <v>1705</v>
      </c>
    </row>
    <row r="606" spans="1:17" x14ac:dyDescent="0.3">
      <c r="A606" s="20" t="s">
        <v>89</v>
      </c>
      <c r="B606" s="20">
        <v>256821</v>
      </c>
      <c r="C606" s="32">
        <v>42856</v>
      </c>
      <c r="D606" s="20" t="s">
        <v>255</v>
      </c>
      <c r="E606" s="20">
        <v>15</v>
      </c>
      <c r="F606" s="20">
        <v>15</v>
      </c>
      <c r="G606" s="20">
        <v>15</v>
      </c>
      <c r="H606" s="20">
        <v>19</v>
      </c>
      <c r="I606" s="20">
        <v>22</v>
      </c>
      <c r="J606" s="20">
        <v>22</v>
      </c>
      <c r="K606" s="20">
        <v>22</v>
      </c>
      <c r="L606" s="20">
        <v>22</v>
      </c>
      <c r="M606" s="20">
        <v>22</v>
      </c>
      <c r="N606" s="20">
        <v>22</v>
      </c>
      <c r="O606" s="20">
        <v>22</v>
      </c>
      <c r="Q606">
        <f t="shared" si="9"/>
        <v>203</v>
      </c>
    </row>
    <row r="607" spans="1:17" x14ac:dyDescent="0.3">
      <c r="A607" s="20" t="s">
        <v>89</v>
      </c>
      <c r="B607" s="20">
        <v>256823</v>
      </c>
      <c r="C607" s="32">
        <v>42856</v>
      </c>
      <c r="D607" s="20" t="s">
        <v>256</v>
      </c>
      <c r="E607" s="20">
        <v>1</v>
      </c>
      <c r="F607" s="20">
        <v>1</v>
      </c>
      <c r="G607" s="20">
        <v>1</v>
      </c>
      <c r="H607" s="20">
        <v>2</v>
      </c>
      <c r="I607" s="20">
        <v>2</v>
      </c>
      <c r="J607" s="20">
        <v>2</v>
      </c>
      <c r="K607" s="20">
        <v>2</v>
      </c>
      <c r="L607" s="20">
        <v>2</v>
      </c>
      <c r="M607" s="20">
        <v>2</v>
      </c>
      <c r="N607" s="20">
        <v>2</v>
      </c>
      <c r="O607" s="20">
        <v>2</v>
      </c>
      <c r="Q607">
        <f t="shared" si="9"/>
        <v>18</v>
      </c>
    </row>
    <row r="608" spans="1:17" x14ac:dyDescent="0.3">
      <c r="A608" s="20" t="s">
        <v>89</v>
      </c>
      <c r="B608" s="20">
        <v>256827</v>
      </c>
      <c r="C608" s="32">
        <v>42856</v>
      </c>
      <c r="D608" s="20" t="s">
        <v>261</v>
      </c>
      <c r="E608" s="20">
        <v>1</v>
      </c>
      <c r="F608" s="20">
        <v>2</v>
      </c>
      <c r="G608" s="20">
        <v>2</v>
      </c>
      <c r="H608" s="20">
        <v>2</v>
      </c>
      <c r="I608" s="20">
        <v>2</v>
      </c>
      <c r="J608" s="20">
        <v>2</v>
      </c>
      <c r="K608" s="20">
        <v>2</v>
      </c>
      <c r="L608" s="20">
        <v>2</v>
      </c>
      <c r="M608" s="20">
        <v>2</v>
      </c>
      <c r="N608" s="20">
        <v>2</v>
      </c>
      <c r="O608" s="20">
        <v>2</v>
      </c>
      <c r="Q608">
        <f t="shared" si="9"/>
        <v>20</v>
      </c>
    </row>
    <row r="609" spans="1:17" x14ac:dyDescent="0.3">
      <c r="A609" s="20" t="s">
        <v>89</v>
      </c>
      <c r="B609" s="20">
        <v>256928</v>
      </c>
      <c r="C609" s="32">
        <v>42856</v>
      </c>
      <c r="D609" s="20" t="s">
        <v>259</v>
      </c>
      <c r="E609" s="20">
        <v>1</v>
      </c>
      <c r="F609" s="20">
        <v>1</v>
      </c>
      <c r="G609" s="20">
        <v>1</v>
      </c>
      <c r="H609" s="20">
        <v>2</v>
      </c>
      <c r="I609" s="20">
        <v>2</v>
      </c>
      <c r="J609" s="20">
        <v>2</v>
      </c>
      <c r="K609" s="20">
        <v>2</v>
      </c>
      <c r="L609" s="20">
        <v>2</v>
      </c>
      <c r="M609" s="20">
        <v>2</v>
      </c>
      <c r="N609" s="20">
        <v>2</v>
      </c>
      <c r="O609" s="20">
        <v>2</v>
      </c>
      <c r="Q609">
        <f t="shared" si="9"/>
        <v>18</v>
      </c>
    </row>
    <row r="610" spans="1:17" x14ac:dyDescent="0.3">
      <c r="A610" s="20" t="s">
        <v>89</v>
      </c>
      <c r="B610" s="20">
        <v>256229</v>
      </c>
      <c r="C610" s="32">
        <v>42856</v>
      </c>
      <c r="D610" s="20" t="s">
        <v>255</v>
      </c>
      <c r="E610" s="20">
        <v>2</v>
      </c>
      <c r="F610" s="20">
        <v>2</v>
      </c>
      <c r="G610" s="20">
        <v>3</v>
      </c>
      <c r="H610" s="20">
        <v>9</v>
      </c>
      <c r="I610" s="20">
        <v>15</v>
      </c>
      <c r="J610" s="20">
        <v>17</v>
      </c>
      <c r="K610" s="20">
        <v>19</v>
      </c>
      <c r="L610" s="20">
        <v>19</v>
      </c>
      <c r="M610" s="20">
        <v>19</v>
      </c>
      <c r="N610" s="20">
        <v>19</v>
      </c>
      <c r="O610" s="20">
        <v>19</v>
      </c>
      <c r="Q610">
        <f t="shared" si="9"/>
        <v>141</v>
      </c>
    </row>
    <row r="611" spans="1:17" x14ac:dyDescent="0.3">
      <c r="A611" s="20" t="s">
        <v>89</v>
      </c>
      <c r="B611" s="20">
        <v>256344</v>
      </c>
      <c r="C611" s="32">
        <v>42856</v>
      </c>
      <c r="D611" s="20" t="s">
        <v>253</v>
      </c>
      <c r="E611" s="20">
        <v>36</v>
      </c>
      <c r="F611" s="20">
        <v>36</v>
      </c>
      <c r="G611" s="20">
        <v>50</v>
      </c>
      <c r="H611" s="20">
        <v>70</v>
      </c>
      <c r="I611" s="20">
        <v>80</v>
      </c>
      <c r="J611" s="20">
        <v>95</v>
      </c>
      <c r="K611" s="20">
        <v>148</v>
      </c>
      <c r="L611" s="20">
        <v>168</v>
      </c>
      <c r="M611" s="20">
        <v>168</v>
      </c>
      <c r="N611" s="20">
        <v>168</v>
      </c>
      <c r="O611" s="20">
        <v>168</v>
      </c>
      <c r="Q611">
        <f t="shared" si="9"/>
        <v>1151</v>
      </c>
    </row>
    <row r="612" spans="1:17" x14ac:dyDescent="0.3">
      <c r="A612" s="20" t="s">
        <v>89</v>
      </c>
      <c r="B612" s="20">
        <v>256345</v>
      </c>
      <c r="C612" s="32">
        <v>42856</v>
      </c>
      <c r="D612" s="20" t="s">
        <v>255</v>
      </c>
      <c r="E612" s="20">
        <v>11</v>
      </c>
      <c r="F612" s="20">
        <v>11</v>
      </c>
      <c r="G612" s="20">
        <v>14</v>
      </c>
      <c r="H612" s="20">
        <v>16</v>
      </c>
      <c r="I612" s="20">
        <v>17</v>
      </c>
      <c r="J612" s="20">
        <v>17</v>
      </c>
      <c r="K612" s="20">
        <v>17</v>
      </c>
      <c r="L612" s="20">
        <v>17</v>
      </c>
      <c r="M612" s="20">
        <v>17</v>
      </c>
      <c r="N612" s="20">
        <v>17</v>
      </c>
      <c r="O612" s="20">
        <v>17</v>
      </c>
      <c r="Q612">
        <f t="shared" si="9"/>
        <v>160</v>
      </c>
    </row>
    <row r="613" spans="1:17" x14ac:dyDescent="0.3">
      <c r="A613" s="20" t="s">
        <v>89</v>
      </c>
      <c r="B613" s="20">
        <v>256348</v>
      </c>
      <c r="C613" s="32">
        <v>42856</v>
      </c>
      <c r="D613" s="20" t="s">
        <v>256</v>
      </c>
      <c r="E613" s="20">
        <v>1</v>
      </c>
      <c r="F613" s="20">
        <v>1</v>
      </c>
      <c r="G613" s="20">
        <v>3</v>
      </c>
      <c r="H613" s="20">
        <v>3</v>
      </c>
      <c r="I613" s="20">
        <v>3</v>
      </c>
      <c r="J613" s="20">
        <v>3</v>
      </c>
      <c r="K613" s="20">
        <v>3</v>
      </c>
      <c r="L613" s="20">
        <v>3</v>
      </c>
      <c r="M613" s="20">
        <v>3</v>
      </c>
      <c r="N613" s="20">
        <v>3</v>
      </c>
      <c r="O613" s="20">
        <v>3</v>
      </c>
      <c r="Q613">
        <f t="shared" si="9"/>
        <v>28</v>
      </c>
    </row>
    <row r="614" spans="1:17" x14ac:dyDescent="0.3">
      <c r="A614" s="20" t="s">
        <v>89</v>
      </c>
      <c r="B614" s="20">
        <v>257138</v>
      </c>
      <c r="C614" s="32">
        <v>42856</v>
      </c>
      <c r="D614" s="20" t="s">
        <v>254</v>
      </c>
      <c r="E614" s="20">
        <v>1</v>
      </c>
      <c r="F614" s="20">
        <v>0</v>
      </c>
      <c r="G614" s="20">
        <v>0</v>
      </c>
      <c r="H614" s="20">
        <v>0</v>
      </c>
      <c r="I614" s="20">
        <v>0</v>
      </c>
      <c r="J614" s="20">
        <v>0</v>
      </c>
      <c r="K614" s="20">
        <v>0</v>
      </c>
      <c r="L614" s="20">
        <v>1</v>
      </c>
      <c r="M614" s="20">
        <v>1</v>
      </c>
      <c r="N614" s="20">
        <v>1</v>
      </c>
      <c r="O614" s="20">
        <v>1</v>
      </c>
      <c r="Q614">
        <f t="shared" si="9"/>
        <v>4</v>
      </c>
    </row>
    <row r="615" spans="1:17" x14ac:dyDescent="0.3">
      <c r="A615" s="20" t="s">
        <v>89</v>
      </c>
      <c r="B615" s="20">
        <v>259386</v>
      </c>
      <c r="C615" s="32">
        <v>42856</v>
      </c>
      <c r="D615" s="20" t="s">
        <v>255</v>
      </c>
      <c r="E615" s="20">
        <v>2</v>
      </c>
      <c r="F615" s="20">
        <v>2</v>
      </c>
      <c r="G615" s="20">
        <v>2</v>
      </c>
      <c r="H615" s="20">
        <v>11</v>
      </c>
      <c r="I615" s="20">
        <v>17</v>
      </c>
      <c r="J615" s="20">
        <v>24</v>
      </c>
      <c r="K615" s="20">
        <v>25</v>
      </c>
      <c r="L615" s="20">
        <v>30</v>
      </c>
      <c r="M615" s="20">
        <v>30</v>
      </c>
      <c r="N615" s="20">
        <v>30</v>
      </c>
      <c r="O615" s="20">
        <v>30</v>
      </c>
      <c r="Q615">
        <f t="shared" si="9"/>
        <v>201</v>
      </c>
    </row>
    <row r="616" spans="1:17" x14ac:dyDescent="0.3">
      <c r="A616" s="20" t="s">
        <v>89</v>
      </c>
      <c r="B616" s="20">
        <v>259411</v>
      </c>
      <c r="C616" s="32">
        <v>42856</v>
      </c>
      <c r="D616" s="20" t="s">
        <v>258</v>
      </c>
      <c r="E616" s="20">
        <v>2</v>
      </c>
      <c r="F616" s="20">
        <v>2</v>
      </c>
      <c r="G616" s="20">
        <v>3</v>
      </c>
      <c r="H616" s="20">
        <v>4</v>
      </c>
      <c r="I616" s="20">
        <v>5</v>
      </c>
      <c r="J616" s="20">
        <v>6</v>
      </c>
      <c r="K616" s="20">
        <v>6</v>
      </c>
      <c r="L616" s="20">
        <v>6</v>
      </c>
      <c r="M616" s="20">
        <v>6</v>
      </c>
      <c r="N616" s="20">
        <v>6</v>
      </c>
      <c r="O616" s="20">
        <v>6</v>
      </c>
      <c r="Q616">
        <f t="shared" si="9"/>
        <v>50</v>
      </c>
    </row>
    <row r="617" spans="1:17" x14ac:dyDescent="0.3">
      <c r="A617" s="20" t="s">
        <v>89</v>
      </c>
      <c r="B617" s="20">
        <v>259323</v>
      </c>
      <c r="C617" s="32">
        <v>42856</v>
      </c>
      <c r="D617" s="20" t="s">
        <v>255</v>
      </c>
      <c r="E617" s="20">
        <v>19</v>
      </c>
      <c r="F617" s="20">
        <v>19</v>
      </c>
      <c r="G617" s="20">
        <v>19</v>
      </c>
      <c r="H617" s="20">
        <v>20</v>
      </c>
      <c r="I617" s="20">
        <v>20</v>
      </c>
      <c r="J617" s="20">
        <v>20</v>
      </c>
      <c r="K617" s="20">
        <v>20</v>
      </c>
      <c r="L617" s="20">
        <v>21</v>
      </c>
      <c r="M617" s="20">
        <v>21</v>
      </c>
      <c r="N617" s="20">
        <v>21</v>
      </c>
      <c r="O617" s="20">
        <v>21</v>
      </c>
      <c r="Q617">
        <f t="shared" si="9"/>
        <v>202</v>
      </c>
    </row>
    <row r="618" spans="1:17" x14ac:dyDescent="0.3">
      <c r="A618" s="20" t="s">
        <v>89</v>
      </c>
      <c r="B618" s="20">
        <v>259882</v>
      </c>
      <c r="C618" s="32">
        <v>42856</v>
      </c>
      <c r="D618" s="20" t="s">
        <v>255</v>
      </c>
      <c r="E618" s="20">
        <v>2</v>
      </c>
      <c r="F618" s="20">
        <v>2</v>
      </c>
      <c r="G618" s="20">
        <v>4</v>
      </c>
      <c r="H618" s="20">
        <v>12</v>
      </c>
      <c r="I618" s="20">
        <v>21</v>
      </c>
      <c r="J618" s="20">
        <v>23</v>
      </c>
      <c r="K618" s="20">
        <v>27</v>
      </c>
      <c r="L618" s="20">
        <v>31</v>
      </c>
      <c r="M618" s="20">
        <v>33</v>
      </c>
      <c r="N618" s="20">
        <v>33</v>
      </c>
      <c r="O618" s="20">
        <v>33</v>
      </c>
      <c r="Q618">
        <f t="shared" si="9"/>
        <v>219</v>
      </c>
    </row>
    <row r="619" spans="1:17" x14ac:dyDescent="0.3">
      <c r="A619" s="20" t="s">
        <v>89</v>
      </c>
      <c r="B619" s="20">
        <v>260767</v>
      </c>
      <c r="C619" s="32">
        <v>42856</v>
      </c>
      <c r="D619" s="20" t="s">
        <v>254</v>
      </c>
      <c r="E619" s="20">
        <v>1</v>
      </c>
      <c r="F619" s="20">
        <v>0</v>
      </c>
      <c r="G619" s="20">
        <v>0</v>
      </c>
      <c r="H619" s="20">
        <v>0</v>
      </c>
      <c r="I619" s="20">
        <v>0</v>
      </c>
      <c r="J619" s="20">
        <v>0</v>
      </c>
      <c r="K619" s="20">
        <v>0</v>
      </c>
      <c r="L619" s="20">
        <v>1</v>
      </c>
      <c r="M619" s="20">
        <v>1</v>
      </c>
      <c r="N619" s="20">
        <v>1</v>
      </c>
      <c r="O619" s="20">
        <v>1</v>
      </c>
      <c r="Q619">
        <f t="shared" si="9"/>
        <v>4</v>
      </c>
    </row>
    <row r="620" spans="1:17" x14ac:dyDescent="0.3">
      <c r="A620" s="20" t="s">
        <v>89</v>
      </c>
      <c r="B620" s="20">
        <v>260781</v>
      </c>
      <c r="C620" s="32">
        <v>42856</v>
      </c>
      <c r="D620" s="20" t="s">
        <v>256</v>
      </c>
      <c r="E620" s="20">
        <v>1</v>
      </c>
      <c r="F620" s="20">
        <v>2</v>
      </c>
      <c r="G620" s="20">
        <v>2</v>
      </c>
      <c r="H620" s="20">
        <v>3</v>
      </c>
      <c r="I620" s="20">
        <v>3</v>
      </c>
      <c r="J620" s="20">
        <v>3</v>
      </c>
      <c r="K620" s="20">
        <v>3</v>
      </c>
      <c r="L620" s="20">
        <v>3</v>
      </c>
      <c r="M620" s="20">
        <v>3</v>
      </c>
      <c r="N620" s="20">
        <v>3</v>
      </c>
      <c r="O620" s="20">
        <v>3</v>
      </c>
      <c r="Q620">
        <f t="shared" si="9"/>
        <v>28</v>
      </c>
    </row>
    <row r="621" spans="1:17" x14ac:dyDescent="0.3">
      <c r="A621" s="20" t="s">
        <v>89</v>
      </c>
      <c r="B621" s="20">
        <v>260826</v>
      </c>
      <c r="C621" s="32">
        <v>42856</v>
      </c>
      <c r="D621" s="20" t="s">
        <v>258</v>
      </c>
      <c r="E621" s="20">
        <v>3</v>
      </c>
      <c r="F621" s="20">
        <v>3</v>
      </c>
      <c r="G621" s="20">
        <v>3</v>
      </c>
      <c r="H621" s="20">
        <v>5</v>
      </c>
      <c r="I621" s="20">
        <v>5</v>
      </c>
      <c r="J621" s="20">
        <v>5</v>
      </c>
      <c r="K621" s="20">
        <v>5</v>
      </c>
      <c r="L621" s="20">
        <v>5</v>
      </c>
      <c r="M621" s="20">
        <v>5</v>
      </c>
      <c r="N621" s="20">
        <v>5</v>
      </c>
      <c r="O621" s="20">
        <v>5</v>
      </c>
      <c r="Q621">
        <f t="shared" si="9"/>
        <v>46</v>
      </c>
    </row>
    <row r="622" spans="1:17" x14ac:dyDescent="0.3">
      <c r="A622" s="20" t="s">
        <v>89</v>
      </c>
      <c r="B622" s="20">
        <v>260833</v>
      </c>
      <c r="C622" s="32">
        <v>42856</v>
      </c>
      <c r="D622" s="20" t="s">
        <v>255</v>
      </c>
      <c r="E622" s="20">
        <v>12</v>
      </c>
      <c r="F622" s="20">
        <v>12</v>
      </c>
      <c r="G622" s="20">
        <v>17</v>
      </c>
      <c r="H622" s="20">
        <v>29</v>
      </c>
      <c r="I622" s="20">
        <v>31</v>
      </c>
      <c r="J622" s="20">
        <v>31</v>
      </c>
      <c r="K622" s="20">
        <v>31</v>
      </c>
      <c r="L622" s="20">
        <v>31</v>
      </c>
      <c r="M622" s="20">
        <v>31</v>
      </c>
      <c r="N622" s="20">
        <v>31</v>
      </c>
      <c r="O622" s="20">
        <v>31</v>
      </c>
      <c r="Q622">
        <f t="shared" si="9"/>
        <v>275</v>
      </c>
    </row>
    <row r="623" spans="1:17" x14ac:dyDescent="0.3">
      <c r="A623" s="20" t="s">
        <v>89</v>
      </c>
      <c r="B623" s="20">
        <v>260133</v>
      </c>
      <c r="C623" s="32">
        <v>42856</v>
      </c>
      <c r="D623" s="20" t="s">
        <v>255</v>
      </c>
      <c r="E623" s="20">
        <v>3</v>
      </c>
      <c r="F623" s="20">
        <v>3</v>
      </c>
      <c r="G623" s="20">
        <v>5</v>
      </c>
      <c r="H623" s="20">
        <v>9</v>
      </c>
      <c r="I623" s="20">
        <v>15</v>
      </c>
      <c r="J623" s="20">
        <v>17</v>
      </c>
      <c r="K623" s="20">
        <v>23</v>
      </c>
      <c r="L623" s="20">
        <v>24</v>
      </c>
      <c r="M623" s="20">
        <v>26</v>
      </c>
      <c r="N623" s="20">
        <v>27</v>
      </c>
      <c r="O623" s="20">
        <v>29</v>
      </c>
      <c r="Q623">
        <f t="shared" si="9"/>
        <v>178</v>
      </c>
    </row>
    <row r="624" spans="1:17" x14ac:dyDescent="0.3">
      <c r="A624" s="20" t="s">
        <v>89</v>
      </c>
      <c r="B624" s="20">
        <v>261209</v>
      </c>
      <c r="C624" s="32">
        <v>42856</v>
      </c>
      <c r="D624" s="20" t="s">
        <v>253</v>
      </c>
      <c r="E624" s="20">
        <v>18</v>
      </c>
      <c r="F624" s="20">
        <v>18</v>
      </c>
      <c r="G624" s="20">
        <v>22</v>
      </c>
      <c r="H624" s="20">
        <v>32</v>
      </c>
      <c r="I624" s="20">
        <v>76</v>
      </c>
      <c r="J624" s="20">
        <v>119</v>
      </c>
      <c r="K624" s="20">
        <v>137</v>
      </c>
      <c r="L624" s="20">
        <v>141</v>
      </c>
      <c r="M624" s="20">
        <v>141</v>
      </c>
      <c r="N624" s="20">
        <v>141</v>
      </c>
      <c r="O624" s="20">
        <v>141</v>
      </c>
      <c r="Q624">
        <f t="shared" si="9"/>
        <v>968</v>
      </c>
    </row>
    <row r="625" spans="1:17" x14ac:dyDescent="0.3">
      <c r="A625" s="20" t="s">
        <v>89</v>
      </c>
      <c r="B625" s="20">
        <v>260300</v>
      </c>
      <c r="C625" s="32">
        <v>42856</v>
      </c>
      <c r="D625" s="20" t="s">
        <v>258</v>
      </c>
      <c r="E625" s="20">
        <v>1</v>
      </c>
      <c r="F625" s="20">
        <v>1</v>
      </c>
      <c r="G625" s="20">
        <v>1</v>
      </c>
      <c r="H625" s="20">
        <v>2</v>
      </c>
      <c r="I625" s="20">
        <v>2</v>
      </c>
      <c r="J625" s="20">
        <v>2</v>
      </c>
      <c r="K625" s="20">
        <v>3</v>
      </c>
      <c r="L625" s="20">
        <v>3</v>
      </c>
      <c r="M625" s="20">
        <v>3</v>
      </c>
      <c r="N625" s="20">
        <v>3</v>
      </c>
      <c r="O625" s="20">
        <v>3</v>
      </c>
      <c r="Q625">
        <f t="shared" si="9"/>
        <v>23</v>
      </c>
    </row>
    <row r="626" spans="1:17" x14ac:dyDescent="0.3">
      <c r="A626" s="20" t="s">
        <v>89</v>
      </c>
      <c r="B626" s="20">
        <v>259855</v>
      </c>
      <c r="C626" s="32">
        <v>42856</v>
      </c>
      <c r="D626" s="20" t="s">
        <v>258</v>
      </c>
      <c r="E626" s="20">
        <v>1</v>
      </c>
      <c r="F626" s="20">
        <v>1</v>
      </c>
      <c r="G626" s="20">
        <v>1</v>
      </c>
      <c r="H626" s="20">
        <v>3</v>
      </c>
      <c r="I626" s="20">
        <v>5</v>
      </c>
      <c r="J626" s="20">
        <v>5</v>
      </c>
      <c r="K626" s="20">
        <v>5</v>
      </c>
      <c r="L626" s="20">
        <v>5</v>
      </c>
      <c r="M626" s="20">
        <v>5</v>
      </c>
      <c r="N626" s="20">
        <v>5</v>
      </c>
      <c r="O626" s="20">
        <v>6</v>
      </c>
      <c r="Q626">
        <f t="shared" si="9"/>
        <v>41</v>
      </c>
    </row>
    <row r="627" spans="1:17" x14ac:dyDescent="0.3">
      <c r="A627" s="20" t="s">
        <v>89</v>
      </c>
      <c r="B627" s="20">
        <v>252992</v>
      </c>
      <c r="C627" s="32">
        <v>42856</v>
      </c>
      <c r="D627" s="20" t="s">
        <v>255</v>
      </c>
      <c r="E627" s="20">
        <v>6</v>
      </c>
      <c r="F627" s="20">
        <v>6</v>
      </c>
      <c r="G627" s="20">
        <v>9</v>
      </c>
      <c r="H627" s="20">
        <v>24</v>
      </c>
      <c r="I627" s="20">
        <v>30</v>
      </c>
      <c r="J627" s="20">
        <v>33</v>
      </c>
      <c r="K627" s="20">
        <v>34</v>
      </c>
      <c r="L627" s="20">
        <v>34</v>
      </c>
      <c r="M627" s="20">
        <v>34</v>
      </c>
      <c r="N627" s="20">
        <v>34</v>
      </c>
      <c r="O627" s="20">
        <v>34</v>
      </c>
      <c r="Q627">
        <f t="shared" si="9"/>
        <v>272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
  <sheetViews>
    <sheetView workbookViewId="0"/>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
  <sheetViews>
    <sheetView workbookViewId="0"/>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
  <sheetViews>
    <sheetView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2"/>
  <sheetViews>
    <sheetView topLeftCell="J1" workbookViewId="0">
      <selection activeCell="A2" sqref="A2"/>
    </sheetView>
  </sheetViews>
  <sheetFormatPr defaultRowHeight="14.4" x14ac:dyDescent="0.3"/>
  <cols>
    <col min="1" max="1" width="34.77734375" bestFit="1" customWidth="1"/>
    <col min="4" max="4" width="13.21875" style="46" bestFit="1" customWidth="1"/>
    <col min="5" max="5" width="14" style="46" bestFit="1" customWidth="1"/>
    <col min="7" max="7" width="12.6640625" bestFit="1" customWidth="1"/>
    <col min="8" max="8" width="13.6640625" bestFit="1" customWidth="1"/>
    <col min="9" max="9" width="14.88671875" bestFit="1" customWidth="1"/>
    <col min="11" max="11" width="34.77734375" bestFit="1" customWidth="1"/>
    <col min="14" max="14" width="34.77734375" bestFit="1" customWidth="1"/>
    <col min="17" max="17" width="13.77734375" bestFit="1" customWidth="1"/>
    <col min="18" max="18" width="14.44140625" bestFit="1" customWidth="1"/>
  </cols>
  <sheetData>
    <row r="1" spans="1:20" s="52" customFormat="1" x14ac:dyDescent="0.3">
      <c r="A1" s="52" t="s">
        <v>439</v>
      </c>
      <c r="B1" s="52" t="s">
        <v>440</v>
      </c>
      <c r="C1" s="52" t="s">
        <v>441</v>
      </c>
      <c r="D1" s="52" t="s">
        <v>442</v>
      </c>
      <c r="E1" s="52" t="s">
        <v>443</v>
      </c>
      <c r="F1" s="52" t="s">
        <v>444</v>
      </c>
      <c r="G1" s="52" t="s">
        <v>445</v>
      </c>
      <c r="H1" s="52" t="s">
        <v>446</v>
      </c>
      <c r="I1" s="52" t="s">
        <v>447</v>
      </c>
      <c r="J1" s="52" t="s">
        <v>448</v>
      </c>
      <c r="K1" s="52" t="s">
        <v>449</v>
      </c>
      <c r="N1" s="52" t="s">
        <v>432</v>
      </c>
      <c r="O1" s="52" t="s">
        <v>433</v>
      </c>
      <c r="P1" s="52" t="s">
        <v>434</v>
      </c>
      <c r="Q1" s="53" t="s">
        <v>435</v>
      </c>
      <c r="R1" s="53" t="s">
        <v>436</v>
      </c>
      <c r="S1" s="52" t="s">
        <v>437</v>
      </c>
      <c r="T1" s="52" t="s">
        <v>438</v>
      </c>
    </row>
    <row r="2" spans="1:20" x14ac:dyDescent="0.3">
      <c r="A2" t="s">
        <v>421</v>
      </c>
      <c r="C2" t="s">
        <v>351</v>
      </c>
      <c r="D2" s="46">
        <v>42887.125289351854</v>
      </c>
      <c r="E2" s="46">
        <v>42887.125289351854</v>
      </c>
      <c r="F2" t="s">
        <v>421</v>
      </c>
      <c r="H2" s="16">
        <v>42887.125289351854</v>
      </c>
      <c r="I2" s="16">
        <v>42887</v>
      </c>
      <c r="J2">
        <v>6147</v>
      </c>
      <c r="K2" t="s">
        <v>421</v>
      </c>
      <c r="N2" t="s">
        <v>421</v>
      </c>
      <c r="P2" t="s">
        <v>351</v>
      </c>
      <c r="Q2" s="46">
        <v>42887.041965312499</v>
      </c>
      <c r="R2" s="46">
        <v>42887.041965312499</v>
      </c>
    </row>
    <row r="3" spans="1:20" x14ac:dyDescent="0.3">
      <c r="A3" t="s">
        <v>422</v>
      </c>
      <c r="C3" t="s">
        <v>351</v>
      </c>
      <c r="D3" s="46">
        <v>42887.268194444441</v>
      </c>
      <c r="E3" s="46">
        <v>42887.268252314818</v>
      </c>
      <c r="F3" t="s">
        <v>422</v>
      </c>
      <c r="H3" s="16">
        <v>42887.268194444441</v>
      </c>
      <c r="I3" s="16">
        <v>42887</v>
      </c>
      <c r="J3">
        <v>6221</v>
      </c>
      <c r="K3" t="s">
        <v>422</v>
      </c>
      <c r="N3" t="s">
        <v>422</v>
      </c>
      <c r="P3" t="s">
        <v>351</v>
      </c>
      <c r="Q3" s="46">
        <v>42887.184864432871</v>
      </c>
      <c r="R3" s="46">
        <v>42887.18492230324</v>
      </c>
    </row>
    <row r="4" spans="1:20" x14ac:dyDescent="0.3">
      <c r="A4" t="s">
        <v>350</v>
      </c>
      <c r="C4" t="s">
        <v>351</v>
      </c>
      <c r="D4" s="46">
        <v>42887.355740740742</v>
      </c>
      <c r="E4" s="46">
        <v>42887.356192129628</v>
      </c>
      <c r="F4" t="s">
        <v>350</v>
      </c>
      <c r="H4" s="16">
        <v>42887.355740740742</v>
      </c>
      <c r="I4" s="16">
        <v>42887</v>
      </c>
      <c r="J4">
        <v>6221</v>
      </c>
      <c r="K4" t="s">
        <v>350</v>
      </c>
      <c r="N4" t="s">
        <v>350</v>
      </c>
      <c r="P4" t="s">
        <v>351</v>
      </c>
      <c r="Q4" s="46">
        <v>42887.272416817126</v>
      </c>
      <c r="R4" s="46">
        <v>42887.272868206019</v>
      </c>
    </row>
    <row r="5" spans="1:20" x14ac:dyDescent="0.3">
      <c r="A5" t="s">
        <v>374</v>
      </c>
      <c r="C5" t="s">
        <v>351</v>
      </c>
      <c r="D5" s="46">
        <v>42887.389907407407</v>
      </c>
      <c r="E5" s="46">
        <v>42887.390138888892</v>
      </c>
      <c r="F5" t="s">
        <v>374</v>
      </c>
      <c r="H5" s="16">
        <v>42887.389907407407</v>
      </c>
      <c r="I5" s="16">
        <v>42887</v>
      </c>
      <c r="J5">
        <v>6221</v>
      </c>
      <c r="K5" t="s">
        <v>374</v>
      </c>
      <c r="N5" t="s">
        <v>374</v>
      </c>
      <c r="P5" t="s">
        <v>351</v>
      </c>
      <c r="Q5" s="46">
        <v>42887.306583136575</v>
      </c>
      <c r="R5" s="46">
        <v>42887.306814618052</v>
      </c>
    </row>
    <row r="6" spans="1:20" x14ac:dyDescent="0.3">
      <c r="A6" t="s">
        <v>375</v>
      </c>
      <c r="C6" t="s">
        <v>351</v>
      </c>
      <c r="D6" s="46">
        <v>42887.391145833331</v>
      </c>
      <c r="E6" s="46">
        <v>42887.391284722224</v>
      </c>
      <c r="F6" t="s">
        <v>375</v>
      </c>
      <c r="H6" s="16">
        <v>42887.391145833331</v>
      </c>
      <c r="I6" s="16">
        <v>42887</v>
      </c>
      <c r="J6">
        <v>6221</v>
      </c>
      <c r="K6" t="s">
        <v>375</v>
      </c>
      <c r="N6" t="s">
        <v>375</v>
      </c>
      <c r="P6" t="s">
        <v>351</v>
      </c>
      <c r="Q6" s="46">
        <v>42887.307821608796</v>
      </c>
      <c r="R6" s="46">
        <v>42887.307960497688</v>
      </c>
    </row>
    <row r="7" spans="1:20" x14ac:dyDescent="0.3">
      <c r="A7" t="s">
        <v>352</v>
      </c>
      <c r="C7" t="s">
        <v>351</v>
      </c>
      <c r="D7" s="46">
        <v>42887.393078703702</v>
      </c>
      <c r="E7" s="46">
        <v>42887.393530092595</v>
      </c>
      <c r="F7" t="s">
        <v>352</v>
      </c>
      <c r="H7" s="16">
        <v>42887.393078703702</v>
      </c>
      <c r="I7" s="16">
        <v>42887</v>
      </c>
      <c r="J7">
        <v>6221</v>
      </c>
      <c r="K7" t="s">
        <v>352</v>
      </c>
      <c r="N7" t="s">
        <v>352</v>
      </c>
      <c r="P7" t="s">
        <v>351</v>
      </c>
      <c r="Q7" s="46">
        <v>42887.309748692132</v>
      </c>
      <c r="R7" s="46">
        <v>42887.310200081018</v>
      </c>
    </row>
    <row r="8" spans="1:20" x14ac:dyDescent="0.3">
      <c r="A8" s="51" t="s">
        <v>401</v>
      </c>
      <c r="C8" t="s">
        <v>351</v>
      </c>
      <c r="D8" s="46">
        <v>42887.395810185182</v>
      </c>
      <c r="E8" s="46">
        <v>42887.396307870367</v>
      </c>
      <c r="F8" s="51" t="s">
        <v>401</v>
      </c>
      <c r="H8" s="16">
        <v>42887.395810185182</v>
      </c>
      <c r="I8" s="16">
        <v>42887</v>
      </c>
      <c r="J8">
        <v>6221</v>
      </c>
      <c r="K8" s="51" t="s">
        <v>401</v>
      </c>
      <c r="N8" s="51" t="s">
        <v>401</v>
      </c>
      <c r="P8" t="s">
        <v>351</v>
      </c>
      <c r="Q8" s="46">
        <v>42887.312485995368</v>
      </c>
      <c r="R8" s="46">
        <v>42887.312983680553</v>
      </c>
    </row>
    <row r="9" spans="1:20" x14ac:dyDescent="0.3">
      <c r="A9" t="s">
        <v>423</v>
      </c>
      <c r="C9" t="s">
        <v>351</v>
      </c>
      <c r="D9" s="46">
        <v>42887.396087962959</v>
      </c>
      <c r="E9" s="46">
        <v>42887.396157407406</v>
      </c>
      <c r="F9" t="s">
        <v>423</v>
      </c>
      <c r="H9" s="16">
        <v>42887.396087962959</v>
      </c>
      <c r="I9" s="16">
        <v>42887</v>
      </c>
      <c r="J9">
        <v>6221</v>
      </c>
      <c r="K9" t="s">
        <v>423</v>
      </c>
      <c r="N9" t="s">
        <v>423</v>
      </c>
      <c r="P9" t="s">
        <v>351</v>
      </c>
      <c r="Q9" s="46">
        <v>42887.312763888891</v>
      </c>
      <c r="R9" s="46">
        <v>42887.31283333333</v>
      </c>
    </row>
    <row r="10" spans="1:20" x14ac:dyDescent="0.3">
      <c r="A10" t="s">
        <v>424</v>
      </c>
      <c r="C10" t="s">
        <v>351</v>
      </c>
      <c r="D10" s="46">
        <v>42887.404930555553</v>
      </c>
      <c r="E10" s="46">
        <v>42887.404988425929</v>
      </c>
      <c r="F10" t="s">
        <v>424</v>
      </c>
      <c r="H10" s="16">
        <v>42887.404930555553</v>
      </c>
      <c r="I10" s="16">
        <v>42887</v>
      </c>
      <c r="J10">
        <v>6222</v>
      </c>
      <c r="K10" t="s">
        <v>424</v>
      </c>
      <c r="N10" t="s">
        <v>424</v>
      </c>
      <c r="P10" t="s">
        <v>351</v>
      </c>
      <c r="Q10" s="46">
        <v>42887.321600844909</v>
      </c>
      <c r="R10" s="46">
        <v>42887.321658715278</v>
      </c>
    </row>
    <row r="11" spans="1:20" x14ac:dyDescent="0.3">
      <c r="A11" t="s">
        <v>376</v>
      </c>
      <c r="C11" t="s">
        <v>351</v>
      </c>
      <c r="D11" s="46">
        <v>42887.407708333332</v>
      </c>
      <c r="E11" s="46">
        <v>42887.407800925925</v>
      </c>
      <c r="F11" t="s">
        <v>376</v>
      </c>
      <c r="H11" s="16">
        <v>42887.407708333332</v>
      </c>
      <c r="I11" s="16">
        <v>42887</v>
      </c>
      <c r="J11">
        <v>6221</v>
      </c>
      <c r="K11" t="s">
        <v>376</v>
      </c>
      <c r="N11" t="s">
        <v>376</v>
      </c>
      <c r="P11" t="s">
        <v>351</v>
      </c>
      <c r="Q11" s="46">
        <v>42887.324384571759</v>
      </c>
      <c r="R11" s="46">
        <v>42887.324477164351</v>
      </c>
    </row>
    <row r="12" spans="1:20" x14ac:dyDescent="0.3">
      <c r="A12" t="s">
        <v>353</v>
      </c>
      <c r="C12" t="s">
        <v>351</v>
      </c>
      <c r="D12" s="46">
        <v>42887.410092592596</v>
      </c>
      <c r="E12" s="46">
        <v>42887.410416666666</v>
      </c>
      <c r="F12" t="s">
        <v>353</v>
      </c>
      <c r="H12" s="16">
        <v>42887.410092592596</v>
      </c>
      <c r="I12" s="16">
        <v>42887</v>
      </c>
      <c r="J12">
        <v>6221</v>
      </c>
      <c r="K12" t="s">
        <v>353</v>
      </c>
      <c r="N12" t="s">
        <v>353</v>
      </c>
      <c r="P12" t="s">
        <v>351</v>
      </c>
      <c r="Q12" s="46">
        <v>42887.32676304398</v>
      </c>
      <c r="R12" s="46">
        <v>42887.327087118058</v>
      </c>
    </row>
    <row r="13" spans="1:20" x14ac:dyDescent="0.3">
      <c r="A13" t="s">
        <v>425</v>
      </c>
      <c r="C13" t="s">
        <v>351</v>
      </c>
      <c r="D13" s="46">
        <v>42887.420844907407</v>
      </c>
      <c r="E13" s="46">
        <v>42887.420902777776</v>
      </c>
      <c r="F13" t="s">
        <v>425</v>
      </c>
      <c r="H13" s="16">
        <v>42887.420844907407</v>
      </c>
      <c r="I13" s="16">
        <v>42887</v>
      </c>
      <c r="J13">
        <v>6221</v>
      </c>
      <c r="K13" t="s">
        <v>425</v>
      </c>
      <c r="N13" t="s">
        <v>425</v>
      </c>
      <c r="P13" t="s">
        <v>351</v>
      </c>
      <c r="Q13" s="46">
        <v>42887.337520833331</v>
      </c>
      <c r="R13" s="46">
        <v>42887.3375787037</v>
      </c>
    </row>
    <row r="14" spans="1:20" x14ac:dyDescent="0.3">
      <c r="A14" t="s">
        <v>354</v>
      </c>
      <c r="C14" t="s">
        <v>351</v>
      </c>
      <c r="D14" s="46">
        <v>42887.42527777778</v>
      </c>
      <c r="E14" s="46">
        <v>42887.42690972222</v>
      </c>
      <c r="F14" t="s">
        <v>354</v>
      </c>
      <c r="H14" s="16">
        <v>42887.42527777778</v>
      </c>
      <c r="I14" s="16">
        <v>42887</v>
      </c>
      <c r="J14">
        <v>6221</v>
      </c>
      <c r="K14" t="s">
        <v>354</v>
      </c>
      <c r="N14" t="s">
        <v>354</v>
      </c>
      <c r="P14" t="s">
        <v>351</v>
      </c>
      <c r="Q14" s="46">
        <v>42887.341953784722</v>
      </c>
      <c r="R14" s="46">
        <v>42887.34358572917</v>
      </c>
    </row>
    <row r="15" spans="1:20" x14ac:dyDescent="0.3">
      <c r="A15" t="s">
        <v>402</v>
      </c>
      <c r="C15" t="s">
        <v>351</v>
      </c>
      <c r="D15" s="46">
        <v>42887.425833333335</v>
      </c>
      <c r="E15" s="46">
        <v>42887.426064814812</v>
      </c>
      <c r="F15" t="s">
        <v>402</v>
      </c>
      <c r="H15" s="16">
        <v>42887.425833333335</v>
      </c>
      <c r="I15" s="16">
        <v>42887</v>
      </c>
      <c r="J15">
        <v>6221</v>
      </c>
      <c r="K15" t="s">
        <v>402</v>
      </c>
      <c r="N15" s="51" t="s">
        <v>402</v>
      </c>
      <c r="P15" t="s">
        <v>351</v>
      </c>
      <c r="Q15" s="46">
        <v>42887.342509374997</v>
      </c>
      <c r="R15" s="46">
        <v>42887.342740856482</v>
      </c>
    </row>
    <row r="16" spans="1:20" x14ac:dyDescent="0.3">
      <c r="A16" t="s">
        <v>403</v>
      </c>
      <c r="C16" t="s">
        <v>351</v>
      </c>
      <c r="D16" s="46">
        <v>42887.434212962966</v>
      </c>
      <c r="E16" s="46">
        <v>42887.434687499997</v>
      </c>
      <c r="F16" t="s">
        <v>403</v>
      </c>
      <c r="H16" s="16">
        <v>42887.434212962966</v>
      </c>
      <c r="I16" s="16">
        <v>42887</v>
      </c>
      <c r="J16">
        <v>6221</v>
      </c>
      <c r="K16" t="s">
        <v>403</v>
      </c>
      <c r="N16" t="s">
        <v>403</v>
      </c>
      <c r="P16" t="s">
        <v>351</v>
      </c>
      <c r="Q16" s="46">
        <v>42887.350888622685</v>
      </c>
      <c r="R16" s="46">
        <v>42887.351363159723</v>
      </c>
    </row>
    <row r="17" spans="1:18" x14ac:dyDescent="0.3">
      <c r="A17" t="s">
        <v>426</v>
      </c>
      <c r="C17" t="s">
        <v>351</v>
      </c>
      <c r="D17" s="46">
        <v>42887.435046296298</v>
      </c>
      <c r="E17" s="46">
        <v>42887.435428240744</v>
      </c>
      <c r="F17" t="s">
        <v>426</v>
      </c>
      <c r="H17" s="16">
        <v>42887.435046296298</v>
      </c>
      <c r="I17" s="16">
        <v>42887</v>
      </c>
      <c r="J17">
        <v>6221</v>
      </c>
      <c r="K17" t="s">
        <v>426</v>
      </c>
      <c r="N17" t="s">
        <v>426</v>
      </c>
      <c r="P17" t="s">
        <v>351</v>
      </c>
      <c r="Q17" s="46">
        <v>42887.351716666664</v>
      </c>
      <c r="R17" s="46">
        <v>42887.352098611111</v>
      </c>
    </row>
    <row r="18" spans="1:18" x14ac:dyDescent="0.3">
      <c r="A18" t="s">
        <v>377</v>
      </c>
      <c r="C18" t="s">
        <v>351</v>
      </c>
      <c r="D18" s="46">
        <v>42887.437268518515</v>
      </c>
      <c r="E18" s="46">
        <v>42887.437488425923</v>
      </c>
      <c r="F18" t="s">
        <v>377</v>
      </c>
      <c r="H18" s="16">
        <v>42887.437268518515</v>
      </c>
      <c r="I18" s="16">
        <v>42887</v>
      </c>
      <c r="J18">
        <v>6221</v>
      </c>
      <c r="K18" t="s">
        <v>377</v>
      </c>
      <c r="N18" t="s">
        <v>377</v>
      </c>
      <c r="P18" t="s">
        <v>351</v>
      </c>
      <c r="Q18" s="46">
        <v>42887.353938460648</v>
      </c>
      <c r="R18" s="46">
        <v>42887.354158368056</v>
      </c>
    </row>
    <row r="19" spans="1:18" x14ac:dyDescent="0.3">
      <c r="A19" t="s">
        <v>355</v>
      </c>
      <c r="C19" t="s">
        <v>351</v>
      </c>
      <c r="D19" s="46">
        <v>42887.438692129632</v>
      </c>
      <c r="E19" s="46">
        <v>42887.439236111109</v>
      </c>
      <c r="F19" t="s">
        <v>355</v>
      </c>
      <c r="H19" s="16">
        <v>42887.438692129632</v>
      </c>
      <c r="I19" s="16">
        <v>42887</v>
      </c>
      <c r="J19">
        <v>6222</v>
      </c>
      <c r="K19" t="s">
        <v>355</v>
      </c>
      <c r="N19" t="s">
        <v>355</v>
      </c>
      <c r="P19" t="s">
        <v>351</v>
      </c>
      <c r="Q19" s="46">
        <v>42887.3553678588</v>
      </c>
      <c r="R19" s="46">
        <v>42887.355911840277</v>
      </c>
    </row>
    <row r="20" spans="1:18" x14ac:dyDescent="0.3">
      <c r="A20" t="s">
        <v>427</v>
      </c>
      <c r="C20" t="s">
        <v>351</v>
      </c>
      <c r="D20" s="46">
        <v>42887.442326388889</v>
      </c>
      <c r="E20" s="46">
        <v>42887.442418981482</v>
      </c>
      <c r="F20" t="s">
        <v>427</v>
      </c>
      <c r="H20" s="16">
        <v>42887.442326388889</v>
      </c>
      <c r="I20" s="16">
        <v>42887</v>
      </c>
      <c r="J20">
        <v>6221</v>
      </c>
      <c r="K20" t="s">
        <v>427</v>
      </c>
      <c r="N20" t="s">
        <v>427</v>
      </c>
      <c r="P20" t="s">
        <v>351</v>
      </c>
      <c r="Q20" s="46">
        <v>42887.358996493058</v>
      </c>
      <c r="R20" s="46">
        <v>42887.35908908565</v>
      </c>
    </row>
    <row r="21" spans="1:18" x14ac:dyDescent="0.3">
      <c r="A21" t="s">
        <v>428</v>
      </c>
      <c r="C21" t="s">
        <v>351</v>
      </c>
      <c r="D21" s="46">
        <v>42887.44866898148</v>
      </c>
      <c r="E21" s="46">
        <v>42887.44903935185</v>
      </c>
      <c r="F21" t="s">
        <v>428</v>
      </c>
      <c r="H21" s="16">
        <v>42887.44866898148</v>
      </c>
      <c r="I21" s="16">
        <v>42887</v>
      </c>
      <c r="J21">
        <v>6221</v>
      </c>
      <c r="K21" t="s">
        <v>428</v>
      </c>
      <c r="N21" t="s">
        <v>428</v>
      </c>
      <c r="P21" t="s">
        <v>351</v>
      </c>
      <c r="Q21" s="46">
        <v>42887.365339201388</v>
      </c>
      <c r="R21" s="46">
        <v>42887.365709571757</v>
      </c>
    </row>
    <row r="22" spans="1:18" x14ac:dyDescent="0.3">
      <c r="A22" t="s">
        <v>429</v>
      </c>
      <c r="C22" t="s">
        <v>351</v>
      </c>
      <c r="D22" s="46">
        <v>42887.449560185189</v>
      </c>
      <c r="E22" s="46">
        <v>42887.449756944443</v>
      </c>
      <c r="F22" t="s">
        <v>429</v>
      </c>
      <c r="H22" s="16">
        <v>42887.449560185189</v>
      </c>
      <c r="I22" s="16">
        <v>42887</v>
      </c>
      <c r="J22">
        <v>6221</v>
      </c>
      <c r="K22" t="s">
        <v>429</v>
      </c>
      <c r="N22" t="s">
        <v>429</v>
      </c>
      <c r="P22" t="s">
        <v>351</v>
      </c>
      <c r="Q22" s="46">
        <v>42887.366230474538</v>
      </c>
      <c r="R22" s="46">
        <v>42887.366427233799</v>
      </c>
    </row>
    <row r="23" spans="1:18" x14ac:dyDescent="0.3">
      <c r="A23" t="s">
        <v>430</v>
      </c>
      <c r="C23" t="s">
        <v>351</v>
      </c>
      <c r="D23" s="46">
        <v>42887.449791666666</v>
      </c>
      <c r="E23" s="46">
        <v>42887.449976851851</v>
      </c>
      <c r="F23" t="s">
        <v>430</v>
      </c>
      <c r="H23" s="16">
        <v>42887.449791666666</v>
      </c>
      <c r="I23" s="16">
        <v>42887</v>
      </c>
      <c r="J23">
        <v>6221</v>
      </c>
      <c r="K23" t="s">
        <v>430</v>
      </c>
      <c r="N23" t="s">
        <v>430</v>
      </c>
      <c r="P23" t="s">
        <v>351</v>
      </c>
      <c r="Q23" s="46">
        <v>42887.366467708336</v>
      </c>
      <c r="R23" s="46">
        <v>42887.366652893521</v>
      </c>
    </row>
    <row r="24" spans="1:18" x14ac:dyDescent="0.3">
      <c r="A24" t="s">
        <v>378</v>
      </c>
      <c r="C24" t="s">
        <v>351</v>
      </c>
      <c r="D24" s="46">
        <v>42887.450671296298</v>
      </c>
      <c r="E24" s="46">
        <v>42887.451006944444</v>
      </c>
      <c r="F24" t="s">
        <v>378</v>
      </c>
      <c r="H24" s="16">
        <v>42887.450671296298</v>
      </c>
      <c r="I24" s="16">
        <v>42887</v>
      </c>
      <c r="J24">
        <v>6221</v>
      </c>
      <c r="K24" t="s">
        <v>378</v>
      </c>
      <c r="N24" t="s">
        <v>378</v>
      </c>
      <c r="P24" t="s">
        <v>351</v>
      </c>
      <c r="Q24" s="46">
        <v>42887.367341550926</v>
      </c>
      <c r="R24" s="46">
        <v>42887.367677199072</v>
      </c>
    </row>
    <row r="25" spans="1:18" x14ac:dyDescent="0.3">
      <c r="A25" t="s">
        <v>356</v>
      </c>
      <c r="C25" t="s">
        <v>351</v>
      </c>
      <c r="D25" s="46">
        <v>42887.452245370368</v>
      </c>
      <c r="E25" s="46">
        <v>42887.452638888892</v>
      </c>
      <c r="F25" t="s">
        <v>356</v>
      </c>
      <c r="H25" s="16">
        <v>42887.452245370368</v>
      </c>
      <c r="I25" s="16">
        <v>42887</v>
      </c>
      <c r="J25">
        <v>6221</v>
      </c>
      <c r="K25" t="s">
        <v>356</v>
      </c>
      <c r="N25" t="s">
        <v>356</v>
      </c>
      <c r="P25" t="s">
        <v>351</v>
      </c>
      <c r="Q25" s="46">
        <v>42887.368921446759</v>
      </c>
      <c r="R25" s="46">
        <v>42887.369314965275</v>
      </c>
    </row>
    <row r="26" spans="1:18" x14ac:dyDescent="0.3">
      <c r="A26" t="s">
        <v>357</v>
      </c>
      <c r="C26" t="s">
        <v>351</v>
      </c>
      <c r="D26" s="46">
        <v>42887.452696759261</v>
      </c>
      <c r="E26" s="46">
        <v>42887.4528125</v>
      </c>
      <c r="F26" t="s">
        <v>357</v>
      </c>
      <c r="H26" s="16">
        <v>42887.452696759261</v>
      </c>
      <c r="I26" s="16">
        <v>42887</v>
      </c>
      <c r="J26">
        <v>6221</v>
      </c>
      <c r="K26" t="s">
        <v>357</v>
      </c>
      <c r="N26" t="s">
        <v>357</v>
      </c>
      <c r="P26" t="s">
        <v>351</v>
      </c>
      <c r="Q26" s="46">
        <v>42887.369372835645</v>
      </c>
      <c r="R26" s="46">
        <v>42887.369488576391</v>
      </c>
    </row>
    <row r="27" spans="1:18" x14ac:dyDescent="0.3">
      <c r="A27" t="s">
        <v>358</v>
      </c>
      <c r="C27" t="s">
        <v>351</v>
      </c>
      <c r="D27" s="46">
        <v>42887.45275462963</v>
      </c>
      <c r="E27" s="46">
        <v>42887.452986111108</v>
      </c>
      <c r="F27" t="s">
        <v>358</v>
      </c>
      <c r="H27" s="16">
        <v>42887.45275462963</v>
      </c>
      <c r="I27" s="16">
        <v>42887</v>
      </c>
      <c r="J27">
        <v>6222</v>
      </c>
      <c r="K27" t="s">
        <v>358</v>
      </c>
      <c r="N27" t="s">
        <v>358</v>
      </c>
      <c r="P27" t="s">
        <v>351</v>
      </c>
      <c r="Q27" s="46">
        <v>42887.369430706021</v>
      </c>
      <c r="R27" s="46">
        <v>42887.369662187499</v>
      </c>
    </row>
    <row r="28" spans="1:18" x14ac:dyDescent="0.3">
      <c r="A28" t="s">
        <v>404</v>
      </c>
      <c r="C28" t="s">
        <v>351</v>
      </c>
      <c r="D28" s="46">
        <v>42887.453576388885</v>
      </c>
      <c r="E28" s="46">
        <v>42887.454050925924</v>
      </c>
      <c r="F28" t="s">
        <v>404</v>
      </c>
      <c r="H28" s="16">
        <v>42887.453576388885</v>
      </c>
      <c r="I28" s="16">
        <v>42887</v>
      </c>
      <c r="J28">
        <v>6221</v>
      </c>
      <c r="K28" t="s">
        <v>404</v>
      </c>
      <c r="N28" t="s">
        <v>404</v>
      </c>
      <c r="P28" t="s">
        <v>351</v>
      </c>
      <c r="Q28" s="46">
        <v>42887.370252430555</v>
      </c>
      <c r="R28" s="46">
        <v>42887.370726967594</v>
      </c>
    </row>
    <row r="29" spans="1:18" x14ac:dyDescent="0.3">
      <c r="A29" t="s">
        <v>405</v>
      </c>
      <c r="C29" t="s">
        <v>351</v>
      </c>
      <c r="D29" s="46">
        <v>42887.454305555555</v>
      </c>
      <c r="E29" s="46">
        <v>42887.454328703701</v>
      </c>
      <c r="F29" t="s">
        <v>405</v>
      </c>
      <c r="H29" s="16">
        <v>42887.454305555555</v>
      </c>
      <c r="I29" s="16">
        <v>42887</v>
      </c>
      <c r="J29">
        <v>6142</v>
      </c>
      <c r="K29" t="s">
        <v>405</v>
      </c>
      <c r="N29" t="s">
        <v>405</v>
      </c>
      <c r="P29" t="s">
        <v>351</v>
      </c>
      <c r="Q29" s="46">
        <v>42887.370975925929</v>
      </c>
      <c r="R29" s="46">
        <v>42887.370999074075</v>
      </c>
    </row>
    <row r="30" spans="1:18" x14ac:dyDescent="0.3">
      <c r="A30" t="s">
        <v>379</v>
      </c>
      <c r="C30" t="s">
        <v>351</v>
      </c>
      <c r="D30" s="46">
        <v>42887.45721064815</v>
      </c>
      <c r="E30" s="46">
        <v>42887.45722222222</v>
      </c>
      <c r="F30" t="s">
        <v>379</v>
      </c>
      <c r="H30" s="16">
        <v>42887.45721064815</v>
      </c>
      <c r="I30" s="16">
        <v>42887</v>
      </c>
      <c r="J30">
        <v>6147</v>
      </c>
      <c r="K30" t="s">
        <v>379</v>
      </c>
      <c r="N30" t="s">
        <v>379</v>
      </c>
      <c r="P30" t="s">
        <v>351</v>
      </c>
      <c r="Q30" s="46">
        <v>42887.37388684028</v>
      </c>
      <c r="R30" s="46">
        <v>42887.373898414349</v>
      </c>
    </row>
    <row r="31" spans="1:18" x14ac:dyDescent="0.3">
      <c r="A31" t="s">
        <v>359</v>
      </c>
      <c r="C31" t="s">
        <v>351</v>
      </c>
      <c r="D31" s="46">
        <v>42887.45890046296</v>
      </c>
      <c r="E31" s="46">
        <v>42887.459097222221</v>
      </c>
      <c r="F31" t="s">
        <v>359</v>
      </c>
      <c r="H31" s="16">
        <v>42887.45890046296</v>
      </c>
      <c r="I31" s="16">
        <v>42887</v>
      </c>
      <c r="J31">
        <v>6221</v>
      </c>
      <c r="K31" t="s">
        <v>359</v>
      </c>
      <c r="N31" t="s">
        <v>359</v>
      </c>
      <c r="P31" t="s">
        <v>351</v>
      </c>
      <c r="Q31" s="46">
        <v>42887.375570833334</v>
      </c>
      <c r="R31" s="46">
        <v>42887.375767592595</v>
      </c>
    </row>
    <row r="32" spans="1:18" x14ac:dyDescent="0.3">
      <c r="A32" t="s">
        <v>360</v>
      </c>
      <c r="C32" t="s">
        <v>351</v>
      </c>
      <c r="D32" s="46">
        <v>42887.470763888887</v>
      </c>
      <c r="E32" s="46">
        <v>42887.471354166664</v>
      </c>
      <c r="F32" t="s">
        <v>360</v>
      </c>
      <c r="H32" s="16">
        <v>42887.470763888887</v>
      </c>
      <c r="I32" s="16">
        <v>42887</v>
      </c>
      <c r="J32">
        <v>6148</v>
      </c>
      <c r="K32" t="s">
        <v>360</v>
      </c>
      <c r="N32" t="s">
        <v>360</v>
      </c>
      <c r="P32" t="s">
        <v>351</v>
      </c>
      <c r="Q32" s="46">
        <v>42887.38743978009</v>
      </c>
      <c r="R32" s="46">
        <v>42887.388030057868</v>
      </c>
    </row>
    <row r="33" spans="1:18" x14ac:dyDescent="0.3">
      <c r="A33" t="s">
        <v>380</v>
      </c>
      <c r="C33" t="s">
        <v>351</v>
      </c>
      <c r="D33" s="46">
        <v>42887.653831018521</v>
      </c>
      <c r="E33" s="46">
        <v>42887.654641203706</v>
      </c>
      <c r="F33" t="s">
        <v>380</v>
      </c>
      <c r="H33" s="16">
        <v>42887.653831018521</v>
      </c>
      <c r="I33" s="16">
        <v>42887</v>
      </c>
      <c r="J33">
        <v>6144</v>
      </c>
      <c r="K33" t="s">
        <v>380</v>
      </c>
      <c r="N33" t="s">
        <v>380</v>
      </c>
      <c r="P33" t="s">
        <v>351</v>
      </c>
      <c r="Q33" s="46">
        <v>42887.570501238428</v>
      </c>
      <c r="R33" s="46">
        <v>42887.571311423613</v>
      </c>
    </row>
    <row r="34" spans="1:18" x14ac:dyDescent="0.3">
      <c r="A34" t="s">
        <v>406</v>
      </c>
      <c r="C34" t="s">
        <v>351</v>
      </c>
      <c r="D34" s="46">
        <v>42887.835162037038</v>
      </c>
      <c r="E34" s="46">
        <v>42887.835694444446</v>
      </c>
      <c r="F34" t="s">
        <v>406</v>
      </c>
      <c r="H34" s="16">
        <v>42887.835162037038</v>
      </c>
      <c r="I34" s="16">
        <v>42887</v>
      </c>
      <c r="J34">
        <v>6221</v>
      </c>
      <c r="K34" t="s">
        <v>406</v>
      </c>
      <c r="N34" t="s">
        <v>406</v>
      </c>
      <c r="P34" t="s">
        <v>351</v>
      </c>
      <c r="Q34" s="46">
        <v>42887.75183202546</v>
      </c>
      <c r="R34" s="46">
        <v>42887.752364432868</v>
      </c>
    </row>
    <row r="35" spans="1:18" x14ac:dyDescent="0.3">
      <c r="A35" t="s">
        <v>407</v>
      </c>
      <c r="C35" t="s">
        <v>351</v>
      </c>
      <c r="D35" s="46">
        <v>42887.835659722223</v>
      </c>
      <c r="E35" s="46">
        <v>42887.836030092592</v>
      </c>
      <c r="F35" t="s">
        <v>407</v>
      </c>
      <c r="H35" s="16">
        <v>42887.835659722223</v>
      </c>
      <c r="I35" s="16">
        <v>42887</v>
      </c>
      <c r="J35">
        <v>6221</v>
      </c>
      <c r="K35" t="s">
        <v>407</v>
      </c>
      <c r="N35" t="s">
        <v>407</v>
      </c>
      <c r="P35" t="s">
        <v>351</v>
      </c>
      <c r="Q35" s="46">
        <v>42887.752329664349</v>
      </c>
      <c r="R35" s="46">
        <v>42887.752700034725</v>
      </c>
    </row>
    <row r="36" spans="1:18" x14ac:dyDescent="0.3">
      <c r="A36" s="51" t="s">
        <v>408</v>
      </c>
      <c r="C36" t="s">
        <v>351</v>
      </c>
      <c r="D36" s="46">
        <v>42887.837476851855</v>
      </c>
      <c r="E36" s="46">
        <v>42887.837557870371</v>
      </c>
      <c r="F36" s="51" t="s">
        <v>408</v>
      </c>
      <c r="H36" s="16">
        <v>42887.837476851855</v>
      </c>
      <c r="I36" s="16">
        <v>42887</v>
      </c>
      <c r="J36">
        <v>6149</v>
      </c>
      <c r="K36" s="51" t="s">
        <v>408</v>
      </c>
      <c r="N36" s="51" t="s">
        <v>408</v>
      </c>
      <c r="P36" t="s">
        <v>351</v>
      </c>
      <c r="Q36" s="46">
        <v>42887.754146793981</v>
      </c>
      <c r="R36" s="46">
        <v>42887.754227812497</v>
      </c>
    </row>
    <row r="37" spans="1:18" x14ac:dyDescent="0.3">
      <c r="A37" t="s">
        <v>409</v>
      </c>
      <c r="C37" t="s">
        <v>351</v>
      </c>
      <c r="D37" s="46">
        <v>42887.83792824074</v>
      </c>
      <c r="E37" s="46">
        <v>42887.838009259256</v>
      </c>
      <c r="F37" t="s">
        <v>409</v>
      </c>
      <c r="H37" s="16">
        <v>42887.83792824074</v>
      </c>
      <c r="I37" s="16">
        <v>42887</v>
      </c>
      <c r="J37">
        <v>6221</v>
      </c>
      <c r="K37" t="s">
        <v>409</v>
      </c>
      <c r="N37" t="s">
        <v>409</v>
      </c>
      <c r="P37" t="s">
        <v>351</v>
      </c>
      <c r="Q37" s="46">
        <v>42887.754603969908</v>
      </c>
      <c r="R37" s="46">
        <v>42887.754684988424</v>
      </c>
    </row>
    <row r="38" spans="1:18" x14ac:dyDescent="0.3">
      <c r="A38" t="s">
        <v>410</v>
      </c>
      <c r="C38" t="s">
        <v>351</v>
      </c>
      <c r="D38" s="46">
        <v>42887.838252314818</v>
      </c>
      <c r="E38" s="46">
        <v>42887.838865740741</v>
      </c>
      <c r="F38" t="s">
        <v>410</v>
      </c>
      <c r="H38" s="16">
        <v>42887.838252314818</v>
      </c>
      <c r="I38" s="16">
        <v>42887</v>
      </c>
      <c r="J38">
        <v>6222</v>
      </c>
      <c r="K38" t="s">
        <v>410</v>
      </c>
      <c r="N38" t="s">
        <v>410</v>
      </c>
      <c r="P38" t="s">
        <v>351</v>
      </c>
      <c r="Q38" s="46">
        <v>42887.75492230324</v>
      </c>
      <c r="R38" s="46">
        <v>42887.755535729164</v>
      </c>
    </row>
    <row r="39" spans="1:18" x14ac:dyDescent="0.3">
      <c r="A39" t="s">
        <v>411</v>
      </c>
      <c r="C39" t="s">
        <v>351</v>
      </c>
      <c r="D39" s="46">
        <v>42887.838831018518</v>
      </c>
      <c r="E39" s="46">
        <v>42887.838900462964</v>
      </c>
      <c r="F39" t="s">
        <v>411</v>
      </c>
      <c r="H39" s="16">
        <v>42887.838831018518</v>
      </c>
      <c r="I39" s="16">
        <v>42887</v>
      </c>
      <c r="J39">
        <v>6221</v>
      </c>
      <c r="K39" t="s">
        <v>411</v>
      </c>
      <c r="N39" t="s">
        <v>411</v>
      </c>
      <c r="P39" t="s">
        <v>351</v>
      </c>
      <c r="Q39" s="46">
        <v>42887.755501006941</v>
      </c>
      <c r="R39" s="46">
        <v>42887.755570451387</v>
      </c>
    </row>
    <row r="40" spans="1:18" x14ac:dyDescent="0.3">
      <c r="A40" t="s">
        <v>412</v>
      </c>
      <c r="C40" t="s">
        <v>351</v>
      </c>
      <c r="D40" s="46">
        <v>42887.839074074072</v>
      </c>
      <c r="E40" s="46">
        <v>42887.839687500003</v>
      </c>
      <c r="F40" t="s">
        <v>412</v>
      </c>
      <c r="H40" s="16">
        <v>42887.839074074072</v>
      </c>
      <c r="I40" s="16">
        <v>42887</v>
      </c>
      <c r="J40">
        <v>6221</v>
      </c>
      <c r="K40" t="s">
        <v>412</v>
      </c>
      <c r="N40" t="s">
        <v>412</v>
      </c>
      <c r="P40" t="s">
        <v>351</v>
      </c>
      <c r="Q40" s="46">
        <v>42887.755744062502</v>
      </c>
      <c r="R40" s="46">
        <v>42887.756357488426</v>
      </c>
    </row>
    <row r="41" spans="1:18" x14ac:dyDescent="0.3">
      <c r="A41" t="s">
        <v>413</v>
      </c>
      <c r="C41" t="s">
        <v>351</v>
      </c>
      <c r="D41" s="46">
        <v>42887.839525462965</v>
      </c>
      <c r="E41" s="46">
        <v>42887.839895833335</v>
      </c>
      <c r="F41" t="s">
        <v>413</v>
      </c>
      <c r="H41" s="16">
        <v>42887.839525462965</v>
      </c>
      <c r="I41" s="16">
        <v>42887</v>
      </c>
      <c r="J41">
        <v>6221</v>
      </c>
      <c r="K41" t="s">
        <v>413</v>
      </c>
      <c r="N41" t="s">
        <v>413</v>
      </c>
      <c r="P41" t="s">
        <v>351</v>
      </c>
      <c r="Q41" s="46">
        <v>42887.756201238422</v>
      </c>
      <c r="R41" s="46">
        <v>42887.756571608799</v>
      </c>
    </row>
    <row r="42" spans="1:18" x14ac:dyDescent="0.3">
      <c r="A42" t="s">
        <v>414</v>
      </c>
      <c r="C42" t="s">
        <v>351</v>
      </c>
      <c r="D42" s="46">
        <v>42887.839618055557</v>
      </c>
      <c r="E42" s="46">
        <v>42887.840115740742</v>
      </c>
      <c r="F42" t="s">
        <v>414</v>
      </c>
      <c r="H42" s="16">
        <v>42887.839618055557</v>
      </c>
      <c r="I42" s="16">
        <v>42887</v>
      </c>
      <c r="J42">
        <v>6222</v>
      </c>
      <c r="K42" t="s">
        <v>414</v>
      </c>
      <c r="N42" t="s">
        <v>414</v>
      </c>
      <c r="P42" t="s">
        <v>351</v>
      </c>
      <c r="Q42" s="46">
        <v>42887.756293865743</v>
      </c>
      <c r="R42" s="46">
        <v>42887.756791550928</v>
      </c>
    </row>
    <row r="43" spans="1:18" x14ac:dyDescent="0.3">
      <c r="A43" t="s">
        <v>415</v>
      </c>
      <c r="C43" t="s">
        <v>351</v>
      </c>
      <c r="D43" s="46">
        <v>42887.840729166666</v>
      </c>
      <c r="E43" s="46">
        <v>42887.84107638889</v>
      </c>
      <c r="F43" t="s">
        <v>415</v>
      </c>
      <c r="H43" s="16">
        <v>42887.840729166666</v>
      </c>
      <c r="I43" s="16">
        <v>42887</v>
      </c>
      <c r="J43">
        <v>6221</v>
      </c>
      <c r="K43" t="s">
        <v>415</v>
      </c>
      <c r="N43" t="s">
        <v>415</v>
      </c>
      <c r="P43" t="s">
        <v>351</v>
      </c>
      <c r="Q43" s="46">
        <v>42887.757399224538</v>
      </c>
      <c r="R43" s="46">
        <v>42887.757746446761</v>
      </c>
    </row>
    <row r="44" spans="1:18" x14ac:dyDescent="0.3">
      <c r="A44" t="s">
        <v>416</v>
      </c>
      <c r="C44" t="s">
        <v>351</v>
      </c>
      <c r="D44" s="46">
        <v>42887.840729166666</v>
      </c>
      <c r="E44" s="46">
        <v>42887.840740740743</v>
      </c>
      <c r="F44" t="s">
        <v>416</v>
      </c>
      <c r="H44" s="16">
        <v>42887.840729166666</v>
      </c>
      <c r="I44" s="16">
        <v>42887</v>
      </c>
      <c r="J44">
        <v>6147</v>
      </c>
      <c r="K44" t="s">
        <v>416</v>
      </c>
      <c r="N44" t="s">
        <v>416</v>
      </c>
      <c r="P44" t="s">
        <v>351</v>
      </c>
      <c r="Q44" s="46">
        <v>42887.757399224538</v>
      </c>
      <c r="R44" s="46">
        <v>42887.757410798615</v>
      </c>
    </row>
    <row r="45" spans="1:18" x14ac:dyDescent="0.3">
      <c r="A45" t="s">
        <v>417</v>
      </c>
      <c r="C45" t="s">
        <v>351</v>
      </c>
      <c r="D45" s="46">
        <v>42887.84138888889</v>
      </c>
      <c r="E45" s="46">
        <v>42887.841585648152</v>
      </c>
      <c r="F45" t="s">
        <v>417</v>
      </c>
      <c r="H45" s="16">
        <v>42887.84138888889</v>
      </c>
      <c r="I45" s="16">
        <v>42887</v>
      </c>
      <c r="J45">
        <v>6221</v>
      </c>
      <c r="K45" t="s">
        <v>417</v>
      </c>
      <c r="N45" t="s">
        <v>417</v>
      </c>
      <c r="P45" t="s">
        <v>351</v>
      </c>
      <c r="Q45" s="46">
        <v>42887.758064780093</v>
      </c>
      <c r="R45" s="46">
        <v>42887.758261539355</v>
      </c>
    </row>
    <row r="46" spans="1:18" x14ac:dyDescent="0.3">
      <c r="A46" t="s">
        <v>418</v>
      </c>
      <c r="C46" t="s">
        <v>351</v>
      </c>
      <c r="D46" s="46">
        <v>42887.842569444445</v>
      </c>
      <c r="E46" s="46">
        <v>42887.842800925922</v>
      </c>
      <c r="F46" t="s">
        <v>418</v>
      </c>
      <c r="H46" s="16">
        <v>42887.842569444445</v>
      </c>
      <c r="I46" s="16">
        <v>42887</v>
      </c>
      <c r="J46">
        <v>6221</v>
      </c>
      <c r="K46" t="s">
        <v>418</v>
      </c>
      <c r="N46" t="s">
        <v>418</v>
      </c>
      <c r="P46" t="s">
        <v>351</v>
      </c>
      <c r="Q46" s="46">
        <v>42887.759245289351</v>
      </c>
      <c r="R46" s="46">
        <v>42887.759476770836</v>
      </c>
    </row>
    <row r="47" spans="1:18" x14ac:dyDescent="0.3">
      <c r="A47" t="s">
        <v>419</v>
      </c>
      <c r="C47" t="s">
        <v>351</v>
      </c>
      <c r="D47" s="46">
        <v>42887.845011574071</v>
      </c>
      <c r="E47" s="46">
        <v>42887.845914351848</v>
      </c>
      <c r="F47" t="s">
        <v>419</v>
      </c>
      <c r="H47" s="16">
        <v>42887.845011574071</v>
      </c>
      <c r="I47" s="16">
        <v>42887</v>
      </c>
      <c r="J47">
        <v>6221</v>
      </c>
      <c r="K47" t="s">
        <v>419</v>
      </c>
      <c r="N47" t="s">
        <v>419</v>
      </c>
      <c r="P47" t="s">
        <v>351</v>
      </c>
      <c r="Q47" s="46">
        <v>42887.761681747688</v>
      </c>
      <c r="R47" s="46">
        <v>42887.762584525466</v>
      </c>
    </row>
    <row r="48" spans="1:18" x14ac:dyDescent="0.3">
      <c r="A48" s="51" t="s">
        <v>420</v>
      </c>
      <c r="C48" t="s">
        <v>351</v>
      </c>
      <c r="D48" s="46">
        <v>42887.848321759258</v>
      </c>
      <c r="E48" s="46">
        <v>42887.848391203705</v>
      </c>
      <c r="F48" s="51" t="s">
        <v>420</v>
      </c>
      <c r="H48" s="16">
        <v>42887.848321759258</v>
      </c>
      <c r="I48" s="16">
        <v>42887</v>
      </c>
      <c r="J48">
        <v>6221</v>
      </c>
      <c r="K48" s="51" t="s">
        <v>420</v>
      </c>
      <c r="N48" s="51" t="s">
        <v>420</v>
      </c>
      <c r="P48" t="s">
        <v>351</v>
      </c>
      <c r="Q48" s="46">
        <v>42887.7649977662</v>
      </c>
      <c r="R48" s="46">
        <v>42887.765067210647</v>
      </c>
    </row>
    <row r="49" spans="1:18" x14ac:dyDescent="0.3">
      <c r="A49" t="s">
        <v>381</v>
      </c>
      <c r="C49" t="s">
        <v>351</v>
      </c>
      <c r="D49" s="46">
        <v>42887.851053240738</v>
      </c>
      <c r="E49" s="46">
        <v>42887.851053240738</v>
      </c>
      <c r="F49" t="s">
        <v>381</v>
      </c>
      <c r="H49" s="16">
        <v>42887.851053240738</v>
      </c>
      <c r="I49" s="16">
        <v>42887</v>
      </c>
      <c r="J49">
        <v>6149</v>
      </c>
      <c r="K49" t="s">
        <v>381</v>
      </c>
      <c r="N49" t="s">
        <v>381</v>
      </c>
      <c r="P49" t="s">
        <v>351</v>
      </c>
      <c r="Q49" s="46">
        <v>42887.767723495374</v>
      </c>
      <c r="R49" s="46">
        <v>42887.767723495374</v>
      </c>
    </row>
    <row r="50" spans="1:18" x14ac:dyDescent="0.3">
      <c r="A50" t="s">
        <v>382</v>
      </c>
      <c r="C50" t="s">
        <v>351</v>
      </c>
      <c r="D50" s="46">
        <v>42887.852546296293</v>
      </c>
      <c r="E50" s="46">
        <v>42887.85297453704</v>
      </c>
      <c r="F50" t="s">
        <v>382</v>
      </c>
      <c r="H50" s="16">
        <v>42887.852546296293</v>
      </c>
      <c r="I50" s="16">
        <v>42887</v>
      </c>
      <c r="J50">
        <v>6221</v>
      </c>
      <c r="K50" t="s">
        <v>382</v>
      </c>
      <c r="N50" t="s">
        <v>382</v>
      </c>
      <c r="P50" t="s">
        <v>351</v>
      </c>
      <c r="Q50" s="46">
        <v>42887.769222418981</v>
      </c>
      <c r="R50" s="46">
        <v>42887.76965065972</v>
      </c>
    </row>
    <row r="51" spans="1:18" x14ac:dyDescent="0.3">
      <c r="A51" t="s">
        <v>383</v>
      </c>
      <c r="C51" t="s">
        <v>351</v>
      </c>
      <c r="D51" s="46">
        <v>42887.852754629632</v>
      </c>
      <c r="E51" s="46">
        <v>42887.852847222224</v>
      </c>
      <c r="F51" t="s">
        <v>383</v>
      </c>
      <c r="H51" s="16">
        <v>42887.852754629632</v>
      </c>
      <c r="I51" s="16">
        <v>42887</v>
      </c>
      <c r="J51">
        <v>6221</v>
      </c>
      <c r="K51" t="s">
        <v>383</v>
      </c>
      <c r="N51" t="s">
        <v>383</v>
      </c>
      <c r="P51" t="s">
        <v>351</v>
      </c>
      <c r="Q51" s="46">
        <v>42887.769430671295</v>
      </c>
      <c r="R51" s="46">
        <v>42887.769523263887</v>
      </c>
    </row>
    <row r="52" spans="1:18" x14ac:dyDescent="0.3">
      <c r="A52" t="s">
        <v>384</v>
      </c>
      <c r="C52" t="s">
        <v>351</v>
      </c>
      <c r="D52" s="46">
        <v>42887.857870370368</v>
      </c>
      <c r="E52" s="46">
        <v>42887.857916666668</v>
      </c>
      <c r="F52" t="s">
        <v>384</v>
      </c>
      <c r="H52" s="16">
        <v>42887.857870370368</v>
      </c>
      <c r="I52" s="16">
        <v>42887</v>
      </c>
      <c r="J52">
        <v>6221</v>
      </c>
      <c r="K52" t="s">
        <v>384</v>
      </c>
      <c r="N52" s="51" t="s">
        <v>384</v>
      </c>
      <c r="P52" t="s">
        <v>351</v>
      </c>
      <c r="Q52" s="46">
        <v>42887.77454027778</v>
      </c>
      <c r="R52" s="46">
        <v>42887.774586574073</v>
      </c>
    </row>
    <row r="53" spans="1:18" x14ac:dyDescent="0.3">
      <c r="A53" t="s">
        <v>385</v>
      </c>
      <c r="C53" t="s">
        <v>351</v>
      </c>
      <c r="D53" s="46">
        <v>42887.859652777777</v>
      </c>
      <c r="E53" s="46">
        <v>42887.859733796293</v>
      </c>
      <c r="F53" t="s">
        <v>385</v>
      </c>
      <c r="H53" s="16">
        <v>42887.859652777777</v>
      </c>
      <c r="I53" s="16">
        <v>42887</v>
      </c>
      <c r="J53">
        <v>6221</v>
      </c>
      <c r="K53" t="s">
        <v>385</v>
      </c>
      <c r="N53" t="s">
        <v>385</v>
      </c>
      <c r="P53" t="s">
        <v>351</v>
      </c>
      <c r="Q53" s="46">
        <v>42887.776322685182</v>
      </c>
      <c r="R53" s="46">
        <v>42887.776403703705</v>
      </c>
    </row>
    <row r="54" spans="1:18" x14ac:dyDescent="0.3">
      <c r="A54" t="s">
        <v>386</v>
      </c>
      <c r="C54" t="s">
        <v>351</v>
      </c>
      <c r="D54" s="46">
        <v>42887.860127314816</v>
      </c>
      <c r="E54" s="46">
        <v>42887.860196759262</v>
      </c>
      <c r="F54" t="s">
        <v>386</v>
      </c>
      <c r="H54" s="16">
        <v>42887.860127314816</v>
      </c>
      <c r="I54" s="16">
        <v>42887</v>
      </c>
      <c r="J54">
        <v>6221</v>
      </c>
      <c r="K54" t="s">
        <v>386</v>
      </c>
      <c r="N54" t="s">
        <v>386</v>
      </c>
      <c r="P54" t="s">
        <v>351</v>
      </c>
      <c r="Q54" s="46">
        <v>42887.7767971875</v>
      </c>
      <c r="R54" s="46">
        <v>42887.776866631946</v>
      </c>
    </row>
    <row r="55" spans="1:18" x14ac:dyDescent="0.3">
      <c r="A55" t="s">
        <v>387</v>
      </c>
      <c r="C55" t="s">
        <v>351</v>
      </c>
      <c r="D55" s="46">
        <v>42887.861064814817</v>
      </c>
      <c r="E55" s="46">
        <v>42887.861273148148</v>
      </c>
      <c r="F55" t="s">
        <v>387</v>
      </c>
      <c r="H55" s="16">
        <v>42887.861064814817</v>
      </c>
      <c r="I55" s="16">
        <v>42887</v>
      </c>
      <c r="J55">
        <v>6221</v>
      </c>
      <c r="K55" t="s">
        <v>387</v>
      </c>
      <c r="N55" t="s">
        <v>387</v>
      </c>
      <c r="P55" t="s">
        <v>351</v>
      </c>
      <c r="Q55" s="46">
        <v>42887.777740590274</v>
      </c>
      <c r="R55" s="46">
        <v>42887.777948923613</v>
      </c>
    </row>
    <row r="56" spans="1:18" x14ac:dyDescent="0.3">
      <c r="A56" t="s">
        <v>388</v>
      </c>
      <c r="C56" t="s">
        <v>351</v>
      </c>
      <c r="D56" s="46">
        <v>42887.862314814818</v>
      </c>
      <c r="E56" s="46">
        <v>42887.862534722219</v>
      </c>
      <c r="F56" t="s">
        <v>388</v>
      </c>
      <c r="H56" s="16">
        <v>42887.862314814818</v>
      </c>
      <c r="I56" s="16">
        <v>42887</v>
      </c>
      <c r="J56">
        <v>6221</v>
      </c>
      <c r="K56" t="s">
        <v>388</v>
      </c>
      <c r="N56" t="s">
        <v>388</v>
      </c>
      <c r="P56" t="s">
        <v>351</v>
      </c>
      <c r="Q56" s="46">
        <v>42887.778990624996</v>
      </c>
      <c r="R56" s="46">
        <v>42887.779210532404</v>
      </c>
    </row>
    <row r="57" spans="1:18" x14ac:dyDescent="0.3">
      <c r="A57" t="s">
        <v>389</v>
      </c>
      <c r="C57" t="s">
        <v>351</v>
      </c>
      <c r="D57" s="46">
        <v>42887.863136574073</v>
      </c>
      <c r="E57" s="46">
        <v>42887.863252314812</v>
      </c>
      <c r="F57" t="s">
        <v>389</v>
      </c>
      <c r="H57" s="16">
        <v>42887.863136574073</v>
      </c>
      <c r="I57" s="16">
        <v>42887</v>
      </c>
      <c r="J57">
        <v>6221</v>
      </c>
      <c r="K57" t="s">
        <v>389</v>
      </c>
      <c r="N57" t="s">
        <v>389</v>
      </c>
      <c r="P57" t="s">
        <v>351</v>
      </c>
      <c r="Q57" s="46">
        <v>42887.779806562503</v>
      </c>
      <c r="R57" s="46">
        <v>42887.779922303242</v>
      </c>
    </row>
    <row r="58" spans="1:18" x14ac:dyDescent="0.3">
      <c r="A58" t="s">
        <v>390</v>
      </c>
      <c r="C58" t="s">
        <v>351</v>
      </c>
      <c r="D58" s="46">
        <v>42887.86341435185</v>
      </c>
      <c r="E58" s="46">
        <v>42887.863888888889</v>
      </c>
      <c r="F58" t="s">
        <v>390</v>
      </c>
      <c r="H58" s="16">
        <v>42887.86341435185</v>
      </c>
      <c r="I58" s="16">
        <v>42887</v>
      </c>
      <c r="J58">
        <v>6221</v>
      </c>
      <c r="K58" t="s">
        <v>390</v>
      </c>
      <c r="N58" t="s">
        <v>390</v>
      </c>
      <c r="P58" t="s">
        <v>351</v>
      </c>
      <c r="Q58" s="46">
        <v>42887.780090162036</v>
      </c>
      <c r="R58" s="46">
        <v>42887.780564699075</v>
      </c>
    </row>
    <row r="59" spans="1:18" x14ac:dyDescent="0.3">
      <c r="A59" t="s">
        <v>391</v>
      </c>
      <c r="C59" t="s">
        <v>351</v>
      </c>
      <c r="D59" s="46">
        <v>42887.864930555559</v>
      </c>
      <c r="E59" s="46">
        <v>42887.865208333336</v>
      </c>
      <c r="F59" t="s">
        <v>391</v>
      </c>
      <c r="H59" s="16">
        <v>42887.864930555559</v>
      </c>
      <c r="I59" s="16">
        <v>42887</v>
      </c>
      <c r="J59">
        <v>6221</v>
      </c>
      <c r="K59" t="s">
        <v>391</v>
      </c>
      <c r="N59" s="51" t="s">
        <v>391</v>
      </c>
      <c r="P59" t="s">
        <v>351</v>
      </c>
      <c r="Q59" s="46">
        <v>42887.781606400466</v>
      </c>
      <c r="R59" s="46">
        <v>42887.781884178243</v>
      </c>
    </row>
    <row r="60" spans="1:18" x14ac:dyDescent="0.3">
      <c r="A60" t="s">
        <v>392</v>
      </c>
      <c r="C60" t="s">
        <v>351</v>
      </c>
      <c r="D60" s="46">
        <v>42887.866469907407</v>
      </c>
      <c r="E60" s="46">
        <v>42887.866643518515</v>
      </c>
      <c r="F60" t="s">
        <v>392</v>
      </c>
      <c r="H60" s="16">
        <v>42887.866469907407</v>
      </c>
      <c r="I60" s="16">
        <v>42887</v>
      </c>
      <c r="J60">
        <v>6221</v>
      </c>
      <c r="K60" t="s">
        <v>392</v>
      </c>
      <c r="N60" t="s">
        <v>392</v>
      </c>
      <c r="P60" t="s">
        <v>351</v>
      </c>
      <c r="Q60" s="46">
        <v>42887.783140011576</v>
      </c>
      <c r="R60" s="46">
        <v>42887.783313622684</v>
      </c>
    </row>
    <row r="61" spans="1:18" x14ac:dyDescent="0.3">
      <c r="A61" t="s">
        <v>393</v>
      </c>
      <c r="C61" t="s">
        <v>351</v>
      </c>
      <c r="D61" s="46">
        <v>42887.876145833332</v>
      </c>
      <c r="E61" s="46">
        <v>42887.876446759263</v>
      </c>
      <c r="F61" t="s">
        <v>393</v>
      </c>
      <c r="H61" s="16">
        <v>42887.876145833332</v>
      </c>
      <c r="I61" s="16">
        <v>42887</v>
      </c>
      <c r="J61">
        <v>6221</v>
      </c>
      <c r="K61" t="s">
        <v>393</v>
      </c>
      <c r="N61" t="s">
        <v>393</v>
      </c>
      <c r="P61" t="s">
        <v>351</v>
      </c>
      <c r="Q61" s="46">
        <v>42887.792816122688</v>
      </c>
      <c r="R61" s="46">
        <v>42887.793117048612</v>
      </c>
    </row>
    <row r="62" spans="1:18" x14ac:dyDescent="0.3">
      <c r="A62" t="s">
        <v>394</v>
      </c>
      <c r="C62" t="s">
        <v>351</v>
      </c>
      <c r="D62" s="46">
        <v>42887.879305555558</v>
      </c>
      <c r="E62" s="46">
        <v>42887.879537037035</v>
      </c>
      <c r="F62" t="s">
        <v>394</v>
      </c>
      <c r="H62" s="16">
        <v>42887.879305555558</v>
      </c>
      <c r="I62" s="16">
        <v>42887</v>
      </c>
      <c r="J62">
        <v>6221</v>
      </c>
      <c r="K62" t="s">
        <v>394</v>
      </c>
      <c r="N62" t="s">
        <v>394</v>
      </c>
      <c r="P62" t="s">
        <v>351</v>
      </c>
      <c r="Q62" s="46">
        <v>42887.795981331015</v>
      </c>
      <c r="R62" s="46">
        <v>42887.7962128125</v>
      </c>
    </row>
    <row r="63" spans="1:18" x14ac:dyDescent="0.3">
      <c r="A63" t="s">
        <v>395</v>
      </c>
      <c r="C63" t="s">
        <v>351</v>
      </c>
      <c r="D63" s="46">
        <v>42887.884143518517</v>
      </c>
      <c r="E63" s="46">
        <v>42887.884317129632</v>
      </c>
      <c r="F63" t="s">
        <v>395</v>
      </c>
      <c r="H63" s="16">
        <v>42887.884143518517</v>
      </c>
      <c r="I63" s="16">
        <v>42887</v>
      </c>
      <c r="J63">
        <v>6143</v>
      </c>
      <c r="K63" t="s">
        <v>395</v>
      </c>
      <c r="N63" t="s">
        <v>395</v>
      </c>
      <c r="P63" t="s">
        <v>351</v>
      </c>
      <c r="Q63" s="46">
        <v>42887.800819212964</v>
      </c>
      <c r="R63" s="46">
        <v>42887.800992824072</v>
      </c>
    </row>
    <row r="64" spans="1:18" x14ac:dyDescent="0.3">
      <c r="A64" t="s">
        <v>396</v>
      </c>
      <c r="C64" t="s">
        <v>351</v>
      </c>
      <c r="D64" s="46">
        <v>42887.884456018517</v>
      </c>
      <c r="E64" s="46">
        <v>42887.884560185186</v>
      </c>
      <c r="F64" t="s">
        <v>396</v>
      </c>
      <c r="H64" s="16">
        <v>42887.884456018517</v>
      </c>
      <c r="I64" s="16">
        <v>42887</v>
      </c>
      <c r="J64">
        <v>6221</v>
      </c>
      <c r="K64" t="s">
        <v>396</v>
      </c>
      <c r="N64" t="s">
        <v>396</v>
      </c>
      <c r="P64" t="s">
        <v>351</v>
      </c>
      <c r="Q64" s="46">
        <v>42887.801126122686</v>
      </c>
      <c r="R64" s="46">
        <v>42887.801230289355</v>
      </c>
    </row>
    <row r="65" spans="1:18" x14ac:dyDescent="0.3">
      <c r="A65" t="s">
        <v>397</v>
      </c>
      <c r="C65" t="s">
        <v>351</v>
      </c>
      <c r="D65" s="46">
        <v>42887.887777777774</v>
      </c>
      <c r="E65" s="46">
        <v>42887.888067129628</v>
      </c>
      <c r="F65" t="s">
        <v>397</v>
      </c>
      <c r="H65" s="16">
        <v>42887.887777777774</v>
      </c>
      <c r="I65" s="16">
        <v>42887</v>
      </c>
      <c r="J65">
        <v>6222</v>
      </c>
      <c r="K65" t="s">
        <v>397</v>
      </c>
      <c r="N65" t="s">
        <v>397</v>
      </c>
      <c r="P65" t="s">
        <v>351</v>
      </c>
      <c r="Q65" s="46">
        <v>42887.804453935183</v>
      </c>
      <c r="R65" s="46">
        <v>42887.804743287037</v>
      </c>
    </row>
    <row r="66" spans="1:18" x14ac:dyDescent="0.3">
      <c r="A66" t="s">
        <v>398</v>
      </c>
      <c r="C66" t="s">
        <v>351</v>
      </c>
      <c r="D66" s="46">
        <v>42887.891435185185</v>
      </c>
      <c r="E66" s="46">
        <v>42887.891631944447</v>
      </c>
      <c r="F66" t="s">
        <v>398</v>
      </c>
      <c r="H66" s="16">
        <v>42887.891435185185</v>
      </c>
      <c r="I66" s="16">
        <v>42887</v>
      </c>
      <c r="J66">
        <v>6221</v>
      </c>
      <c r="K66" t="s">
        <v>398</v>
      </c>
      <c r="N66" t="s">
        <v>398</v>
      </c>
      <c r="P66" t="s">
        <v>351</v>
      </c>
      <c r="Q66" s="46">
        <v>42887.808111261576</v>
      </c>
      <c r="R66" s="46">
        <v>42887.808308020831</v>
      </c>
    </row>
    <row r="67" spans="1:18" x14ac:dyDescent="0.3">
      <c r="A67" t="s">
        <v>399</v>
      </c>
      <c r="C67" t="s">
        <v>351</v>
      </c>
      <c r="D67" s="46">
        <v>42887.891782407409</v>
      </c>
      <c r="E67" s="46">
        <v>42887.892199074071</v>
      </c>
      <c r="F67" t="s">
        <v>399</v>
      </c>
      <c r="H67" s="16">
        <v>42887.891782407409</v>
      </c>
      <c r="I67" s="16">
        <v>42887</v>
      </c>
      <c r="J67">
        <v>6221</v>
      </c>
      <c r="K67" t="s">
        <v>399</v>
      </c>
      <c r="N67" t="s">
        <v>399</v>
      </c>
      <c r="P67" t="s">
        <v>351</v>
      </c>
      <c r="Q67" s="46">
        <v>42887.8084584838</v>
      </c>
      <c r="R67" s="46">
        <v>42887.808875150462</v>
      </c>
    </row>
    <row r="68" spans="1:18" x14ac:dyDescent="0.3">
      <c r="A68" t="s">
        <v>400</v>
      </c>
      <c r="C68" t="s">
        <v>351</v>
      </c>
      <c r="D68" s="46">
        <v>42887.895092592589</v>
      </c>
      <c r="E68" s="46">
        <v>42887.895335648151</v>
      </c>
      <c r="F68" t="s">
        <v>400</v>
      </c>
      <c r="H68" s="16">
        <v>42887.895092592589</v>
      </c>
      <c r="I68" s="16">
        <v>42887</v>
      </c>
      <c r="J68">
        <v>6221</v>
      </c>
      <c r="K68" t="s">
        <v>400</v>
      </c>
      <c r="N68" t="s">
        <v>400</v>
      </c>
      <c r="P68" t="s">
        <v>351</v>
      </c>
      <c r="Q68" s="46">
        <v>42887.811762581019</v>
      </c>
      <c r="R68" s="46">
        <v>42887.812005636573</v>
      </c>
    </row>
    <row r="69" spans="1:18" x14ac:dyDescent="0.3">
      <c r="A69" t="s">
        <v>361</v>
      </c>
      <c r="C69" t="s">
        <v>351</v>
      </c>
      <c r="D69" s="46">
        <v>42887.899918981479</v>
      </c>
      <c r="E69" s="46">
        <v>42887.900682870371</v>
      </c>
      <c r="F69" t="s">
        <v>361</v>
      </c>
      <c r="H69" s="16">
        <v>42887.899918981479</v>
      </c>
      <c r="I69" s="16">
        <v>42887</v>
      </c>
      <c r="J69">
        <v>6146</v>
      </c>
      <c r="K69" t="s">
        <v>361</v>
      </c>
      <c r="N69" t="s">
        <v>361</v>
      </c>
      <c r="P69" t="s">
        <v>351</v>
      </c>
      <c r="Q69" s="46">
        <v>42887.816594872682</v>
      </c>
      <c r="R69" s="46">
        <v>42887.817358761575</v>
      </c>
    </row>
    <row r="70" spans="1:18" x14ac:dyDescent="0.3">
      <c r="A70" t="s">
        <v>362</v>
      </c>
      <c r="C70" t="s">
        <v>351</v>
      </c>
      <c r="D70" s="46">
        <v>42887.900277777779</v>
      </c>
      <c r="E70" s="46">
        <v>42887.900983796295</v>
      </c>
      <c r="F70" t="s">
        <v>362</v>
      </c>
      <c r="H70" s="16">
        <v>42887.900277777779</v>
      </c>
      <c r="I70" s="16">
        <v>42887</v>
      </c>
      <c r="J70">
        <v>6221</v>
      </c>
      <c r="K70" t="s">
        <v>362</v>
      </c>
      <c r="N70" t="s">
        <v>362</v>
      </c>
      <c r="P70" t="s">
        <v>351</v>
      </c>
      <c r="Q70" s="46">
        <v>42887.81694783565</v>
      </c>
      <c r="R70" s="46">
        <v>42887.817653854167</v>
      </c>
    </row>
    <row r="71" spans="1:18" x14ac:dyDescent="0.3">
      <c r="A71" t="s">
        <v>363</v>
      </c>
      <c r="C71" t="s">
        <v>351</v>
      </c>
      <c r="D71" s="46">
        <v>42887.901574074072</v>
      </c>
      <c r="E71" s="46">
        <v>42887.901701388888</v>
      </c>
      <c r="F71" t="s">
        <v>363</v>
      </c>
      <c r="H71" s="16">
        <v>42887.901574074072</v>
      </c>
      <c r="I71" s="16">
        <v>42887</v>
      </c>
      <c r="J71">
        <v>6221</v>
      </c>
      <c r="K71" t="s">
        <v>363</v>
      </c>
      <c r="N71" s="51" t="s">
        <v>363</v>
      </c>
      <c r="P71" t="s">
        <v>351</v>
      </c>
      <c r="Q71" s="46">
        <v>42887.818244178241</v>
      </c>
      <c r="R71" s="46">
        <v>42887.818371493056</v>
      </c>
    </row>
    <row r="72" spans="1:18" x14ac:dyDescent="0.3">
      <c r="A72" s="51" t="s">
        <v>364</v>
      </c>
      <c r="C72" t="s">
        <v>351</v>
      </c>
      <c r="D72" s="46">
        <v>42887.903020833335</v>
      </c>
      <c r="E72" s="46">
        <v>42887.903182870374</v>
      </c>
      <c r="F72" s="51" t="s">
        <v>364</v>
      </c>
      <c r="H72" s="16">
        <v>42887.903020833335</v>
      </c>
      <c r="I72" s="16">
        <v>42887</v>
      </c>
      <c r="J72">
        <v>6221</v>
      </c>
      <c r="K72" s="51" t="s">
        <v>364</v>
      </c>
      <c r="N72" s="51" t="s">
        <v>364</v>
      </c>
      <c r="P72" t="s">
        <v>351</v>
      </c>
      <c r="Q72" s="46">
        <v>42887.819691006946</v>
      </c>
      <c r="R72" s="46">
        <v>42887.819853043984</v>
      </c>
    </row>
    <row r="73" spans="1:18" x14ac:dyDescent="0.3">
      <c r="A73" t="s">
        <v>365</v>
      </c>
      <c r="C73" t="s">
        <v>351</v>
      </c>
      <c r="D73" s="46">
        <v>42887.903587962966</v>
      </c>
      <c r="E73" s="46">
        <v>42887.903912037036</v>
      </c>
      <c r="F73" t="s">
        <v>365</v>
      </c>
      <c r="H73" s="16">
        <v>42887.903587962966</v>
      </c>
      <c r="I73" s="16">
        <v>42887</v>
      </c>
      <c r="J73">
        <v>6221</v>
      </c>
      <c r="K73" t="s">
        <v>365</v>
      </c>
      <c r="N73" t="s">
        <v>365</v>
      </c>
      <c r="P73" t="s">
        <v>351</v>
      </c>
      <c r="Q73" s="46">
        <v>42887.820263923611</v>
      </c>
      <c r="R73" s="46">
        <v>42887.820587997689</v>
      </c>
    </row>
    <row r="74" spans="1:18" x14ac:dyDescent="0.3">
      <c r="A74" t="s">
        <v>366</v>
      </c>
      <c r="C74" t="s">
        <v>351</v>
      </c>
      <c r="D74" s="46">
        <v>42887.904594907406</v>
      </c>
      <c r="E74" s="46">
        <v>42887.9059837963</v>
      </c>
      <c r="F74" t="s">
        <v>366</v>
      </c>
      <c r="H74" s="16">
        <v>42887.904594907406</v>
      </c>
      <c r="I74" s="16">
        <v>42887</v>
      </c>
      <c r="J74">
        <v>6222</v>
      </c>
      <c r="K74" t="s">
        <v>366</v>
      </c>
      <c r="N74" t="s">
        <v>366</v>
      </c>
      <c r="P74" t="s">
        <v>351</v>
      </c>
      <c r="Q74" s="46">
        <v>42887.821265127313</v>
      </c>
      <c r="R74" s="46">
        <v>42887.822654016207</v>
      </c>
    </row>
    <row r="75" spans="1:18" x14ac:dyDescent="0.3">
      <c r="A75" t="s">
        <v>367</v>
      </c>
      <c r="C75" t="s">
        <v>351</v>
      </c>
      <c r="D75" s="46">
        <v>42887.910960648151</v>
      </c>
      <c r="E75" s="46">
        <v>42887.911238425928</v>
      </c>
      <c r="F75" t="s">
        <v>367</v>
      </c>
      <c r="H75" s="16">
        <v>42887.910960648151</v>
      </c>
      <c r="I75" s="16">
        <v>42887</v>
      </c>
      <c r="J75">
        <v>6221</v>
      </c>
      <c r="K75" t="s">
        <v>367</v>
      </c>
      <c r="N75" t="s">
        <v>367</v>
      </c>
      <c r="P75" t="s">
        <v>351</v>
      </c>
      <c r="Q75" s="46">
        <v>42887.827636724534</v>
      </c>
      <c r="R75" s="46">
        <v>42887.827914502312</v>
      </c>
    </row>
    <row r="76" spans="1:18" x14ac:dyDescent="0.3">
      <c r="A76" t="s">
        <v>368</v>
      </c>
      <c r="C76" t="s">
        <v>351</v>
      </c>
      <c r="D76" s="46">
        <v>42887.919525462959</v>
      </c>
      <c r="E76" s="46">
        <v>42887.919907407406</v>
      </c>
      <c r="F76" t="s">
        <v>368</v>
      </c>
      <c r="H76" s="16">
        <v>42887.919525462959</v>
      </c>
      <c r="I76" s="16">
        <v>42887</v>
      </c>
      <c r="J76">
        <v>6148</v>
      </c>
      <c r="K76" t="s">
        <v>368</v>
      </c>
      <c r="N76" t="s">
        <v>368</v>
      </c>
      <c r="P76" t="s">
        <v>351</v>
      </c>
      <c r="Q76" s="46">
        <v>42887.836201238424</v>
      </c>
      <c r="R76" s="46">
        <v>42887.836583182871</v>
      </c>
    </row>
    <row r="77" spans="1:18" x14ac:dyDescent="0.3">
      <c r="A77" t="s">
        <v>369</v>
      </c>
      <c r="C77" t="s">
        <v>351</v>
      </c>
      <c r="D77" s="46">
        <v>42887.928923611114</v>
      </c>
      <c r="E77" s="46">
        <v>42887.929513888892</v>
      </c>
      <c r="F77" t="s">
        <v>369</v>
      </c>
      <c r="H77" s="16">
        <v>42887.928923611114</v>
      </c>
      <c r="I77" s="16">
        <v>42887</v>
      </c>
      <c r="J77">
        <v>6142</v>
      </c>
      <c r="K77" t="s">
        <v>369</v>
      </c>
      <c r="N77" t="s">
        <v>369</v>
      </c>
      <c r="P77" t="s">
        <v>351</v>
      </c>
      <c r="Q77" s="46">
        <v>42887.845593831022</v>
      </c>
      <c r="R77" s="46">
        <v>42887.846184108799</v>
      </c>
    </row>
    <row r="78" spans="1:18" x14ac:dyDescent="0.3">
      <c r="A78" t="s">
        <v>370</v>
      </c>
      <c r="C78" t="s">
        <v>351</v>
      </c>
      <c r="D78" s="46">
        <v>42887.958460648151</v>
      </c>
      <c r="E78" s="46">
        <v>42887.958773148152</v>
      </c>
      <c r="F78" t="s">
        <v>370</v>
      </c>
      <c r="H78" s="16">
        <v>42887.958460648151</v>
      </c>
      <c r="I78" s="16">
        <v>42887</v>
      </c>
      <c r="J78">
        <v>6221</v>
      </c>
      <c r="K78" t="s">
        <v>370</v>
      </c>
      <c r="N78" t="s">
        <v>370</v>
      </c>
      <c r="P78" t="s">
        <v>351</v>
      </c>
      <c r="Q78" s="46">
        <v>42887.875136689814</v>
      </c>
      <c r="R78" s="46">
        <v>42887.875449189814</v>
      </c>
    </row>
    <row r="79" spans="1:18" x14ac:dyDescent="0.3">
      <c r="A79" t="s">
        <v>371</v>
      </c>
      <c r="C79" t="s">
        <v>351</v>
      </c>
      <c r="D79" s="46">
        <v>42887.961712962962</v>
      </c>
      <c r="E79" s="46">
        <v>42887.961875000001</v>
      </c>
      <c r="F79" t="s">
        <v>371</v>
      </c>
      <c r="H79" s="16">
        <v>42887.961712962962</v>
      </c>
      <c r="I79" s="16">
        <v>42887</v>
      </c>
      <c r="J79">
        <v>6221</v>
      </c>
      <c r="K79" t="s">
        <v>371</v>
      </c>
      <c r="N79" t="s">
        <v>371</v>
      </c>
      <c r="P79" t="s">
        <v>351</v>
      </c>
      <c r="Q79" s="46">
        <v>42887.878383368057</v>
      </c>
      <c r="R79" s="46">
        <v>42887.878545405096</v>
      </c>
    </row>
    <row r="80" spans="1:18" x14ac:dyDescent="0.3">
      <c r="A80" t="s">
        <v>372</v>
      </c>
      <c r="C80" t="s">
        <v>351</v>
      </c>
      <c r="D80" s="46">
        <v>42887.96329861111</v>
      </c>
      <c r="E80" s="46">
        <v>42887.963391203702</v>
      </c>
      <c r="F80" t="s">
        <v>372</v>
      </c>
      <c r="H80" s="16">
        <v>42887.96329861111</v>
      </c>
      <c r="I80" s="16">
        <v>42887</v>
      </c>
      <c r="J80">
        <v>6144</v>
      </c>
      <c r="K80" t="s">
        <v>372</v>
      </c>
      <c r="N80" t="s">
        <v>372</v>
      </c>
      <c r="P80" t="s">
        <v>351</v>
      </c>
      <c r="Q80" s="46">
        <v>42887.879974270836</v>
      </c>
      <c r="R80" s="46">
        <v>42887.880066863429</v>
      </c>
    </row>
    <row r="81" spans="1:18" x14ac:dyDescent="0.3">
      <c r="A81" t="s">
        <v>373</v>
      </c>
      <c r="C81" t="s">
        <v>351</v>
      </c>
      <c r="D81" s="46">
        <v>42887.978831018518</v>
      </c>
      <c r="E81" s="46">
        <v>42887.979039351849</v>
      </c>
      <c r="F81" t="s">
        <v>373</v>
      </c>
      <c r="H81" s="16">
        <v>42887.978831018518</v>
      </c>
      <c r="I81" s="16">
        <v>42887</v>
      </c>
      <c r="J81">
        <v>6222</v>
      </c>
      <c r="K81" t="s">
        <v>373</v>
      </c>
      <c r="N81" t="s">
        <v>373</v>
      </c>
      <c r="P81" t="s">
        <v>351</v>
      </c>
      <c r="Q81" s="46">
        <v>42887.895501192128</v>
      </c>
      <c r="R81" s="46">
        <v>42887.895709525466</v>
      </c>
    </row>
    <row r="82" spans="1:18" x14ac:dyDescent="0.3">
      <c r="A82" t="s">
        <v>431</v>
      </c>
      <c r="C82" t="s">
        <v>351</v>
      </c>
      <c r="D82" s="46">
        <v>42887.990208333336</v>
      </c>
      <c r="E82" s="46">
        <v>42887.990578703706</v>
      </c>
      <c r="F82" t="s">
        <v>431</v>
      </c>
      <c r="H82" s="16">
        <v>42887.990208333336</v>
      </c>
      <c r="I82" s="16">
        <v>42887</v>
      </c>
      <c r="J82">
        <v>6221</v>
      </c>
      <c r="K82" t="s">
        <v>431</v>
      </c>
      <c r="N82" t="s">
        <v>431</v>
      </c>
      <c r="P82" t="s">
        <v>351</v>
      </c>
      <c r="Q82" s="46">
        <v>42887.906878275462</v>
      </c>
      <c r="R82" s="46">
        <v>42887.907248645832</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12"/>
  <sheetViews>
    <sheetView topLeftCell="Z1" workbookViewId="0">
      <selection activeCell="AJ1" sqref="AJ1:AJ1048576"/>
    </sheetView>
  </sheetViews>
  <sheetFormatPr defaultRowHeight="14.4" x14ac:dyDescent="0.3"/>
  <cols>
    <col min="1" max="1" width="14" bestFit="1" customWidth="1"/>
    <col min="2" max="2" width="15.6640625" bestFit="1" customWidth="1"/>
    <col min="4" max="5" width="16.109375" style="46" bestFit="1" customWidth="1"/>
    <col min="6" max="6" width="16" style="46" customWidth="1"/>
    <col min="7" max="7" width="15.6640625" bestFit="1" customWidth="1"/>
    <col min="9" max="9" width="16.21875" bestFit="1" customWidth="1"/>
    <col min="10" max="10" width="11.5546875" bestFit="1" customWidth="1"/>
    <col min="11" max="11" width="11" bestFit="1" customWidth="1"/>
    <col min="13" max="13" width="34.44140625" bestFit="1" customWidth="1"/>
    <col min="15" max="15" width="24.33203125" bestFit="1" customWidth="1"/>
    <col min="20" max="20" width="10.44140625" bestFit="1" customWidth="1"/>
    <col min="21" max="21" width="13.5546875" style="46" bestFit="1" customWidth="1"/>
    <col min="22" max="22" width="13.88671875" style="46" bestFit="1" customWidth="1"/>
    <col min="23" max="23" width="14" style="46" bestFit="1" customWidth="1"/>
    <col min="24" max="24" width="18" style="46" bestFit="1" customWidth="1"/>
    <col min="26" max="26" width="16.21875" bestFit="1" customWidth="1"/>
    <col min="28" max="28" width="11.6640625" bestFit="1" customWidth="1"/>
    <col min="30" max="30" width="9.88671875" bestFit="1" customWidth="1"/>
    <col min="31" max="31" width="14.88671875" style="46" bestFit="1" customWidth="1"/>
    <col min="32" max="32" width="34.44140625" bestFit="1" customWidth="1"/>
    <col min="35" max="35" width="24.33203125" bestFit="1" customWidth="1"/>
    <col min="36" max="36" width="14.6640625" bestFit="1" customWidth="1"/>
  </cols>
  <sheetData>
    <row r="1" spans="1:37" s="52" customFormat="1" x14ac:dyDescent="0.3">
      <c r="A1" s="52" t="s">
        <v>472</v>
      </c>
      <c r="B1" s="52" t="s">
        <v>473</v>
      </c>
      <c r="C1" s="52" t="s">
        <v>440</v>
      </c>
      <c r="D1" s="53" t="s">
        <v>475</v>
      </c>
      <c r="E1" s="53" t="s">
        <v>476</v>
      </c>
      <c r="F1" s="53" t="s">
        <v>477</v>
      </c>
      <c r="G1" s="52" t="s">
        <v>473</v>
      </c>
      <c r="H1" s="52" t="s">
        <v>474</v>
      </c>
      <c r="I1" s="52" t="s">
        <v>478</v>
      </c>
      <c r="J1" s="52" t="s">
        <v>479</v>
      </c>
      <c r="K1" s="52" t="s">
        <v>480</v>
      </c>
      <c r="L1" s="52" t="s">
        <v>481</v>
      </c>
      <c r="M1" s="52" t="s">
        <v>449</v>
      </c>
      <c r="N1" s="52" t="s">
        <v>332</v>
      </c>
      <c r="O1" s="52" t="s">
        <v>333</v>
      </c>
      <c r="R1" s="52" t="s">
        <v>5</v>
      </c>
      <c r="S1" s="52" t="s">
        <v>488</v>
      </c>
      <c r="T1" s="52" t="s">
        <v>433</v>
      </c>
      <c r="U1" s="53" t="s">
        <v>489</v>
      </c>
      <c r="V1" s="53" t="s">
        <v>490</v>
      </c>
      <c r="W1" s="53" t="s">
        <v>491</v>
      </c>
      <c r="X1" s="53" t="s">
        <v>492</v>
      </c>
      <c r="Y1" s="52" t="s">
        <v>493</v>
      </c>
      <c r="Z1" s="52" t="s">
        <v>494</v>
      </c>
      <c r="AA1" s="52" t="s">
        <v>495</v>
      </c>
      <c r="AB1" s="52" t="s">
        <v>496</v>
      </c>
      <c r="AC1" s="52" t="s">
        <v>497</v>
      </c>
      <c r="AD1" s="52" t="s">
        <v>498</v>
      </c>
      <c r="AE1" s="53" t="s">
        <v>499</v>
      </c>
      <c r="AF1" s="52" t="s">
        <v>500</v>
      </c>
      <c r="AG1" s="52" t="s">
        <v>501</v>
      </c>
      <c r="AH1" s="52" t="s">
        <v>502</v>
      </c>
      <c r="AI1" s="52" t="s">
        <v>503</v>
      </c>
      <c r="AJ1" s="52" t="s">
        <v>504</v>
      </c>
      <c r="AK1" s="52" t="s">
        <v>505</v>
      </c>
    </row>
    <row r="2" spans="1:37" x14ac:dyDescent="0.3">
      <c r="A2">
        <v>490875</v>
      </c>
      <c r="B2" s="22">
        <v>42864</v>
      </c>
      <c r="D2" s="46">
        <v>42864.86787037037</v>
      </c>
      <c r="E2" s="46">
        <v>42864.870451388888</v>
      </c>
      <c r="G2">
        <v>223</v>
      </c>
      <c r="H2">
        <v>24</v>
      </c>
      <c r="I2" t="s">
        <v>454</v>
      </c>
      <c r="J2" t="s">
        <v>301</v>
      </c>
      <c r="K2" t="s">
        <v>301</v>
      </c>
      <c r="L2">
        <v>18</v>
      </c>
      <c r="M2" t="s">
        <v>461</v>
      </c>
      <c r="N2">
        <v>6119</v>
      </c>
      <c r="O2" t="s">
        <v>258</v>
      </c>
      <c r="R2" s="47">
        <v>42864</v>
      </c>
      <c r="S2">
        <v>490875</v>
      </c>
      <c r="T2" t="s">
        <v>483</v>
      </c>
      <c r="U2" s="46">
        <v>42864.86787037037</v>
      </c>
      <c r="V2" s="46">
        <v>42864.870451388888</v>
      </c>
      <c r="X2" s="46">
        <v>42864.534537037034</v>
      </c>
      <c r="Y2">
        <v>24</v>
      </c>
      <c r="Z2" t="s">
        <v>454</v>
      </c>
      <c r="AA2">
        <v>18</v>
      </c>
      <c r="AB2" t="s">
        <v>487</v>
      </c>
      <c r="AE2" s="46">
        <v>42864.537118055552</v>
      </c>
      <c r="AF2" t="s">
        <v>461</v>
      </c>
      <c r="AH2">
        <v>6119</v>
      </c>
      <c r="AI2" t="s">
        <v>258</v>
      </c>
      <c r="AJ2">
        <v>1000</v>
      </c>
    </row>
    <row r="3" spans="1:37" x14ac:dyDescent="0.3">
      <c r="A3">
        <v>490713</v>
      </c>
      <c r="B3" s="22">
        <v>42864</v>
      </c>
      <c r="D3" s="46">
        <v>42864.852824074071</v>
      </c>
      <c r="E3" s="46">
        <v>42864.85633101852</v>
      </c>
      <c r="F3" s="46">
        <v>42864.856041666666</v>
      </c>
      <c r="G3">
        <v>303</v>
      </c>
      <c r="H3">
        <v>24</v>
      </c>
      <c r="I3" t="s">
        <v>454</v>
      </c>
      <c r="J3" t="s">
        <v>301</v>
      </c>
      <c r="K3" t="s">
        <v>301</v>
      </c>
      <c r="L3">
        <v>27</v>
      </c>
      <c r="M3" t="s">
        <v>456</v>
      </c>
      <c r="N3">
        <v>6109</v>
      </c>
      <c r="O3" t="s">
        <v>255</v>
      </c>
      <c r="R3" s="47">
        <v>42864</v>
      </c>
      <c r="S3">
        <v>490713</v>
      </c>
      <c r="T3" t="s">
        <v>483</v>
      </c>
      <c r="U3" s="46">
        <v>42864.852824074071</v>
      </c>
      <c r="V3" s="46">
        <v>42864.85633101852</v>
      </c>
      <c r="W3" s="46">
        <v>42864.856041666666</v>
      </c>
      <c r="X3" s="46">
        <v>42864.519490740742</v>
      </c>
      <c r="Y3">
        <v>24</v>
      </c>
      <c r="Z3" t="s">
        <v>454</v>
      </c>
      <c r="AA3">
        <v>27</v>
      </c>
      <c r="AB3" t="s">
        <v>485</v>
      </c>
      <c r="AE3" s="46">
        <v>42864.522997685184</v>
      </c>
      <c r="AF3" t="s">
        <v>456</v>
      </c>
      <c r="AG3">
        <v>6</v>
      </c>
      <c r="AH3">
        <v>6109</v>
      </c>
      <c r="AI3" t="s">
        <v>255</v>
      </c>
      <c r="AJ3">
        <v>1000</v>
      </c>
    </row>
    <row r="4" spans="1:37" x14ac:dyDescent="0.3">
      <c r="A4">
        <v>490808</v>
      </c>
      <c r="B4" s="22">
        <v>42864</v>
      </c>
      <c r="D4" s="46">
        <v>42864.862696759257</v>
      </c>
      <c r="E4" s="46">
        <v>42864.86619212963</v>
      </c>
      <c r="G4">
        <v>302</v>
      </c>
      <c r="H4">
        <v>24</v>
      </c>
      <c r="I4" t="s">
        <v>454</v>
      </c>
      <c r="J4" t="s">
        <v>301</v>
      </c>
      <c r="K4" t="s">
        <v>301</v>
      </c>
      <c r="L4">
        <v>6</v>
      </c>
      <c r="M4" t="s">
        <v>458</v>
      </c>
      <c r="N4">
        <v>6109</v>
      </c>
      <c r="O4" t="s">
        <v>255</v>
      </c>
      <c r="R4" s="47">
        <v>42864</v>
      </c>
      <c r="S4">
        <v>490808</v>
      </c>
      <c r="T4" t="s">
        <v>483</v>
      </c>
      <c r="U4" s="46">
        <v>42864.862696759257</v>
      </c>
      <c r="V4" s="46">
        <v>42864.86619212963</v>
      </c>
      <c r="X4" s="46">
        <v>42864.529363425929</v>
      </c>
      <c r="Y4">
        <v>24</v>
      </c>
      <c r="Z4" t="s">
        <v>454</v>
      </c>
      <c r="AA4">
        <v>6</v>
      </c>
      <c r="AB4" t="s">
        <v>486</v>
      </c>
      <c r="AE4" s="46">
        <v>42864.532858796294</v>
      </c>
      <c r="AF4" s="51" t="s">
        <v>458</v>
      </c>
      <c r="AH4">
        <v>6109</v>
      </c>
      <c r="AI4" t="s">
        <v>255</v>
      </c>
      <c r="AJ4">
        <v>1000</v>
      </c>
    </row>
    <row r="5" spans="1:37" x14ac:dyDescent="0.3">
      <c r="A5">
        <v>490896</v>
      </c>
      <c r="B5" s="22">
        <v>42864</v>
      </c>
      <c r="D5" s="46">
        <v>42864.872754629629</v>
      </c>
      <c r="E5" s="46">
        <v>42864.874849537038</v>
      </c>
      <c r="G5">
        <v>181</v>
      </c>
      <c r="H5">
        <v>24</v>
      </c>
      <c r="I5" t="s">
        <v>454</v>
      </c>
      <c r="J5" t="s">
        <v>301</v>
      </c>
      <c r="K5" t="s">
        <v>301</v>
      </c>
      <c r="L5">
        <v>6</v>
      </c>
      <c r="M5" t="s">
        <v>459</v>
      </c>
      <c r="N5">
        <v>6109</v>
      </c>
      <c r="O5" t="s">
        <v>255</v>
      </c>
      <c r="R5" s="47">
        <v>42864</v>
      </c>
      <c r="S5">
        <v>490896</v>
      </c>
      <c r="T5" t="s">
        <v>483</v>
      </c>
      <c r="U5" s="46">
        <v>42864.872754629629</v>
      </c>
      <c r="V5" s="46">
        <v>42864.874849537038</v>
      </c>
      <c r="X5" s="46">
        <v>42864.539421296293</v>
      </c>
      <c r="Y5">
        <v>24</v>
      </c>
      <c r="Z5" t="s">
        <v>454</v>
      </c>
      <c r="AA5">
        <v>6</v>
      </c>
      <c r="AB5" t="s">
        <v>486</v>
      </c>
      <c r="AE5" s="46">
        <v>42864.541516203702</v>
      </c>
      <c r="AF5" t="s">
        <v>459</v>
      </c>
      <c r="AH5">
        <v>6109</v>
      </c>
      <c r="AI5" t="s">
        <v>255</v>
      </c>
      <c r="AJ5">
        <v>1000</v>
      </c>
    </row>
    <row r="6" spans="1:37" x14ac:dyDescent="0.3">
      <c r="A6">
        <v>490434</v>
      </c>
      <c r="B6" s="22">
        <v>42864</v>
      </c>
      <c r="D6" s="46">
        <v>42864.704409722224</v>
      </c>
      <c r="E6" s="46">
        <v>42864.705775462964</v>
      </c>
      <c r="F6" s="46">
        <v>42864.705775462964</v>
      </c>
      <c r="G6">
        <v>118</v>
      </c>
      <c r="H6">
        <v>24</v>
      </c>
      <c r="I6" t="s">
        <v>454</v>
      </c>
      <c r="J6" t="s">
        <v>301</v>
      </c>
      <c r="K6" t="s">
        <v>301</v>
      </c>
      <c r="L6">
        <v>25</v>
      </c>
      <c r="M6" t="s">
        <v>457</v>
      </c>
      <c r="N6">
        <v>6120</v>
      </c>
      <c r="O6" t="s">
        <v>263</v>
      </c>
      <c r="R6" s="47">
        <v>42864</v>
      </c>
      <c r="S6">
        <v>490434</v>
      </c>
      <c r="T6" t="s">
        <v>483</v>
      </c>
      <c r="U6" s="46">
        <v>42864.704409722224</v>
      </c>
      <c r="V6" s="46">
        <v>42864.705775462964</v>
      </c>
      <c r="W6" s="46">
        <v>42864.705775462964</v>
      </c>
      <c r="X6" s="46">
        <v>42864.371076388888</v>
      </c>
      <c r="Y6">
        <v>24</v>
      </c>
      <c r="Z6" t="s">
        <v>454</v>
      </c>
      <c r="AA6">
        <v>25</v>
      </c>
      <c r="AB6" t="s">
        <v>484</v>
      </c>
      <c r="AE6" s="46">
        <v>42864.372442129628</v>
      </c>
      <c r="AF6" t="s">
        <v>457</v>
      </c>
      <c r="AH6">
        <v>6120</v>
      </c>
      <c r="AI6" t="s">
        <v>263</v>
      </c>
      <c r="AJ6">
        <v>1000</v>
      </c>
    </row>
    <row r="7" spans="1:37" x14ac:dyDescent="0.3">
      <c r="A7">
        <v>490683</v>
      </c>
      <c r="B7" s="22">
        <v>42864</v>
      </c>
      <c r="D7" s="46">
        <v>42864.840405092589</v>
      </c>
      <c r="E7" s="46">
        <v>42864.842256944445</v>
      </c>
      <c r="F7" s="46">
        <v>42864.842256944445</v>
      </c>
      <c r="G7">
        <v>160</v>
      </c>
      <c r="H7">
        <v>24</v>
      </c>
      <c r="I7" t="s">
        <v>454</v>
      </c>
      <c r="J7" t="s">
        <v>301</v>
      </c>
      <c r="K7" t="s">
        <v>301</v>
      </c>
      <c r="L7">
        <v>27</v>
      </c>
      <c r="M7" s="51" t="s">
        <v>462</v>
      </c>
      <c r="N7">
        <v>6118</v>
      </c>
      <c r="O7" t="s">
        <v>265</v>
      </c>
      <c r="R7" s="47">
        <v>42864</v>
      </c>
      <c r="S7">
        <v>490683</v>
      </c>
      <c r="T7" t="s">
        <v>483</v>
      </c>
      <c r="U7" s="46">
        <v>42864.840405092589</v>
      </c>
      <c r="V7" s="46">
        <v>42864.842256944445</v>
      </c>
      <c r="W7" s="46">
        <v>42864.842256944445</v>
      </c>
      <c r="X7" s="46">
        <v>42864.507071759261</v>
      </c>
      <c r="Y7">
        <v>24</v>
      </c>
      <c r="Z7" t="s">
        <v>454</v>
      </c>
      <c r="AA7">
        <v>27</v>
      </c>
      <c r="AB7" t="s">
        <v>485</v>
      </c>
      <c r="AE7" s="46">
        <v>42864.508923611109</v>
      </c>
      <c r="AF7" s="51" t="s">
        <v>462</v>
      </c>
      <c r="AG7">
        <v>5947</v>
      </c>
      <c r="AH7">
        <v>6118</v>
      </c>
      <c r="AI7" t="s">
        <v>265</v>
      </c>
      <c r="AJ7">
        <v>1000</v>
      </c>
    </row>
    <row r="8" spans="1:37" x14ac:dyDescent="0.3">
      <c r="A8">
        <v>490839</v>
      </c>
      <c r="B8" s="22">
        <v>42864</v>
      </c>
      <c r="D8" s="46">
        <v>42864.864953703705</v>
      </c>
      <c r="E8" s="46">
        <v>42864.865914351853</v>
      </c>
      <c r="F8" s="46">
        <v>42864.865914351853</v>
      </c>
      <c r="G8">
        <v>83</v>
      </c>
      <c r="H8">
        <v>24</v>
      </c>
      <c r="I8" t="s">
        <v>454</v>
      </c>
      <c r="J8" t="s">
        <v>301</v>
      </c>
      <c r="K8" t="s">
        <v>301</v>
      </c>
      <c r="L8">
        <v>25</v>
      </c>
      <c r="M8" t="s">
        <v>455</v>
      </c>
      <c r="N8">
        <v>6113</v>
      </c>
      <c r="O8" t="s">
        <v>256</v>
      </c>
      <c r="R8" s="47">
        <v>42864</v>
      </c>
      <c r="S8">
        <v>490839</v>
      </c>
      <c r="T8" t="s">
        <v>483</v>
      </c>
      <c r="U8" s="46">
        <v>42864.864953703705</v>
      </c>
      <c r="V8" s="46">
        <v>42864.865914351853</v>
      </c>
      <c r="W8" s="46">
        <v>42864.865914351853</v>
      </c>
      <c r="X8" s="46">
        <v>42864.53162037037</v>
      </c>
      <c r="Y8">
        <v>24</v>
      </c>
      <c r="Z8" t="s">
        <v>454</v>
      </c>
      <c r="AA8">
        <v>25</v>
      </c>
      <c r="AB8" t="s">
        <v>484</v>
      </c>
      <c r="AE8" s="46">
        <v>42864.532581018517</v>
      </c>
      <c r="AF8" t="s">
        <v>455</v>
      </c>
      <c r="AH8">
        <v>6113</v>
      </c>
      <c r="AI8" t="s">
        <v>256</v>
      </c>
      <c r="AJ8">
        <v>1000</v>
      </c>
    </row>
    <row r="9" spans="1:37" x14ac:dyDescent="0.3">
      <c r="A9">
        <v>490877</v>
      </c>
      <c r="B9" s="22">
        <v>42864</v>
      </c>
      <c r="D9" s="46">
        <v>42864.86824074074</v>
      </c>
      <c r="E9" s="46">
        <v>42864.870798611111</v>
      </c>
      <c r="G9">
        <v>221</v>
      </c>
      <c r="H9">
        <v>24</v>
      </c>
      <c r="I9" t="s">
        <v>454</v>
      </c>
      <c r="J9" t="s">
        <v>463</v>
      </c>
      <c r="K9" t="s">
        <v>464</v>
      </c>
      <c r="L9">
        <v>27</v>
      </c>
      <c r="M9" s="51" t="s">
        <v>465</v>
      </c>
      <c r="N9">
        <v>6119</v>
      </c>
      <c r="O9" t="s">
        <v>258</v>
      </c>
      <c r="R9" s="47">
        <v>42864</v>
      </c>
      <c r="S9">
        <v>490877</v>
      </c>
      <c r="T9" t="s">
        <v>483</v>
      </c>
      <c r="U9" s="46">
        <v>42864.86824074074</v>
      </c>
      <c r="V9" s="46">
        <v>42864.870798611111</v>
      </c>
      <c r="X9" s="46">
        <v>42864.534907407404</v>
      </c>
      <c r="Y9">
        <v>24</v>
      </c>
      <c r="Z9" t="s">
        <v>454</v>
      </c>
      <c r="AA9">
        <v>27</v>
      </c>
      <c r="AB9" t="s">
        <v>485</v>
      </c>
      <c r="AC9" t="s">
        <v>464</v>
      </c>
      <c r="AD9" t="s">
        <v>463</v>
      </c>
      <c r="AE9" s="46">
        <v>42864.537465277775</v>
      </c>
      <c r="AF9" s="51" t="s">
        <v>465</v>
      </c>
      <c r="AG9">
        <v>0</v>
      </c>
      <c r="AH9">
        <v>6119</v>
      </c>
      <c r="AI9" t="s">
        <v>258</v>
      </c>
      <c r="AJ9">
        <v>1000</v>
      </c>
      <c r="AK9">
        <v>89017</v>
      </c>
    </row>
    <row r="10" spans="1:37" x14ac:dyDescent="0.3">
      <c r="A10">
        <v>490854</v>
      </c>
      <c r="B10" s="22">
        <v>42864</v>
      </c>
      <c r="D10" s="46">
        <v>42864.865601851852</v>
      </c>
      <c r="E10" s="46">
        <v>42864.865879629629</v>
      </c>
      <c r="F10" s="46">
        <v>42864.865879629629</v>
      </c>
      <c r="G10">
        <v>24</v>
      </c>
      <c r="H10">
        <v>24</v>
      </c>
      <c r="I10" t="s">
        <v>454</v>
      </c>
      <c r="J10" t="s">
        <v>301</v>
      </c>
      <c r="K10" t="s">
        <v>301</v>
      </c>
      <c r="L10">
        <v>18</v>
      </c>
      <c r="M10" t="s">
        <v>460</v>
      </c>
      <c r="N10">
        <v>6121</v>
      </c>
      <c r="O10" t="s">
        <v>262</v>
      </c>
      <c r="R10" s="47">
        <v>42864</v>
      </c>
      <c r="S10">
        <v>490854</v>
      </c>
      <c r="T10" t="s">
        <v>483</v>
      </c>
      <c r="U10" s="46">
        <v>42864.865601851852</v>
      </c>
      <c r="V10" s="46">
        <v>42864.865879629629</v>
      </c>
      <c r="W10" s="46">
        <v>42864.865879629629</v>
      </c>
      <c r="X10" s="46">
        <v>42864.532268518517</v>
      </c>
      <c r="Y10">
        <v>24</v>
      </c>
      <c r="Z10" t="s">
        <v>454</v>
      </c>
      <c r="AA10">
        <v>18</v>
      </c>
      <c r="AB10" t="s">
        <v>487</v>
      </c>
      <c r="AE10" s="46">
        <v>42864.532546296294</v>
      </c>
      <c r="AF10" t="s">
        <v>460</v>
      </c>
      <c r="AH10">
        <v>6121</v>
      </c>
      <c r="AI10" t="s">
        <v>262</v>
      </c>
      <c r="AJ10">
        <v>1000</v>
      </c>
    </row>
    <row r="11" spans="1:37" x14ac:dyDescent="0.3">
      <c r="A11">
        <v>490720</v>
      </c>
      <c r="B11" s="22">
        <v>42864</v>
      </c>
      <c r="D11" s="46">
        <v>42864.854560185187</v>
      </c>
      <c r="E11" s="46">
        <v>42864.858275462961</v>
      </c>
      <c r="G11">
        <v>321</v>
      </c>
      <c r="H11">
        <v>24</v>
      </c>
      <c r="I11" t="s">
        <v>454</v>
      </c>
      <c r="J11" t="s">
        <v>466</v>
      </c>
      <c r="K11" t="s">
        <v>467</v>
      </c>
      <c r="L11">
        <v>27</v>
      </c>
      <c r="M11" t="s">
        <v>468</v>
      </c>
      <c r="N11">
        <v>6109</v>
      </c>
      <c r="O11" t="s">
        <v>255</v>
      </c>
      <c r="R11" s="47">
        <v>42864</v>
      </c>
      <c r="S11">
        <v>490720</v>
      </c>
      <c r="T11" t="s">
        <v>483</v>
      </c>
      <c r="U11" s="46">
        <v>42864.854560185187</v>
      </c>
      <c r="V11" s="46">
        <v>42864.858275462961</v>
      </c>
      <c r="X11" s="46">
        <v>42864.521226851852</v>
      </c>
      <c r="Y11">
        <v>24</v>
      </c>
      <c r="Z11" t="s">
        <v>454</v>
      </c>
      <c r="AA11">
        <v>27</v>
      </c>
      <c r="AB11" t="s">
        <v>485</v>
      </c>
      <c r="AC11" t="s">
        <v>467</v>
      </c>
      <c r="AD11" t="s">
        <v>466</v>
      </c>
      <c r="AE11" s="46">
        <v>42864.524942129632</v>
      </c>
      <c r="AF11" t="s">
        <v>468</v>
      </c>
      <c r="AG11">
        <v>5033</v>
      </c>
      <c r="AH11">
        <v>6109</v>
      </c>
      <c r="AI11" t="s">
        <v>255</v>
      </c>
      <c r="AJ11">
        <v>1000</v>
      </c>
      <c r="AK11">
        <v>116518</v>
      </c>
    </row>
    <row r="12" spans="1:37" x14ac:dyDescent="0.3">
      <c r="A12">
        <v>490485</v>
      </c>
      <c r="B12" s="22">
        <v>42864</v>
      </c>
      <c r="D12" s="46">
        <v>42864.72556712963</v>
      </c>
      <c r="E12" s="46">
        <v>42864.726481481484</v>
      </c>
      <c r="F12" s="46">
        <v>42864.726481481484</v>
      </c>
      <c r="G12">
        <v>79</v>
      </c>
      <c r="H12">
        <v>24</v>
      </c>
      <c r="I12" t="s">
        <v>454</v>
      </c>
      <c r="J12" t="s">
        <v>469</v>
      </c>
      <c r="K12" t="s">
        <v>470</v>
      </c>
      <c r="L12">
        <v>27</v>
      </c>
      <c r="M12" t="s">
        <v>471</v>
      </c>
      <c r="N12">
        <v>6118</v>
      </c>
      <c r="O12" t="s">
        <v>265</v>
      </c>
      <c r="R12" s="47">
        <v>42864</v>
      </c>
      <c r="S12">
        <v>490485</v>
      </c>
      <c r="T12" t="s">
        <v>483</v>
      </c>
      <c r="U12" s="46">
        <v>42864.72556712963</v>
      </c>
      <c r="V12" s="46">
        <v>42864.726481481484</v>
      </c>
      <c r="W12" s="46">
        <v>42864.726481481484</v>
      </c>
      <c r="X12" s="46">
        <v>42864.392233796294</v>
      </c>
      <c r="Y12">
        <v>24</v>
      </c>
      <c r="Z12" t="s">
        <v>454</v>
      </c>
      <c r="AA12">
        <v>27</v>
      </c>
      <c r="AB12" t="s">
        <v>485</v>
      </c>
      <c r="AC12" t="s">
        <v>470</v>
      </c>
      <c r="AD12" t="s">
        <v>469</v>
      </c>
      <c r="AE12" s="46">
        <v>42864.393148148149</v>
      </c>
      <c r="AF12" t="s">
        <v>471</v>
      </c>
      <c r="AG12">
        <v>534</v>
      </c>
      <c r="AH12">
        <v>6118</v>
      </c>
      <c r="AI12" t="s">
        <v>265</v>
      </c>
      <c r="AJ12">
        <v>1000</v>
      </c>
      <c r="AK12">
        <v>102688</v>
      </c>
    </row>
  </sheetData>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G24"/>
  <sheetViews>
    <sheetView workbookViewId="0">
      <selection activeCell="AS3" sqref="AS3"/>
    </sheetView>
  </sheetViews>
  <sheetFormatPr defaultRowHeight="14.4" x14ac:dyDescent="0.3"/>
  <cols>
    <col min="2" max="2" width="15.88671875" bestFit="1" customWidth="1"/>
    <col min="3" max="3" width="10.33203125" bestFit="1" customWidth="1"/>
    <col min="4" max="4" width="15.6640625" bestFit="1" customWidth="1"/>
    <col min="5" max="5" width="17" bestFit="1" customWidth="1"/>
    <col min="6" max="6" width="15.6640625" bestFit="1" customWidth="1"/>
    <col min="7" max="7" width="7" bestFit="1" customWidth="1"/>
    <col min="8" max="8" width="13.5546875" bestFit="1" customWidth="1"/>
    <col min="9" max="9" width="12.77734375" bestFit="1" customWidth="1"/>
    <col min="10" max="10" width="22.21875" bestFit="1" customWidth="1"/>
    <col min="11" max="11" width="10.21875" bestFit="1" customWidth="1"/>
    <col min="12" max="12" width="19.6640625" bestFit="1" customWidth="1"/>
    <col min="13" max="13" width="21.33203125" bestFit="1" customWidth="1"/>
    <col min="14" max="14" width="19.44140625" bestFit="1" customWidth="1"/>
    <col min="15" max="15" width="19.88671875" bestFit="1" customWidth="1"/>
    <col min="16" max="16" width="26.5546875" bestFit="1" customWidth="1"/>
    <col min="17" max="17" width="19.21875" bestFit="1" customWidth="1"/>
    <col min="18" max="18" width="18" bestFit="1" customWidth="1"/>
    <col min="19" max="19" width="18.33203125" bestFit="1" customWidth="1"/>
    <col min="20" max="20" width="16.5546875" bestFit="1" customWidth="1"/>
    <col min="21" max="21" width="22.21875" bestFit="1" customWidth="1"/>
    <col min="22" max="22" width="34.44140625" bestFit="1" customWidth="1"/>
    <col min="23" max="23" width="15.109375" bestFit="1" customWidth="1"/>
    <col min="24" max="24" width="34.5546875" bestFit="1" customWidth="1"/>
    <col min="25" max="25" width="18.109375" bestFit="1" customWidth="1"/>
    <col min="26" max="26" width="18.77734375" bestFit="1" customWidth="1"/>
    <col min="27" max="27" width="20.77734375" bestFit="1" customWidth="1"/>
    <col min="31" max="31" width="14.6640625" bestFit="1" customWidth="1"/>
    <col min="32" max="32" width="17" bestFit="1" customWidth="1"/>
    <col min="33" max="33" width="10.33203125" bestFit="1" customWidth="1"/>
    <col min="34" max="34" width="10" bestFit="1" customWidth="1"/>
    <col min="35" max="35" width="15.6640625" bestFit="1" customWidth="1"/>
    <col min="36" max="36" width="9.44140625" bestFit="1" customWidth="1"/>
    <col min="37" max="37" width="7" bestFit="1" customWidth="1"/>
    <col min="38" max="38" width="13.5546875" bestFit="1" customWidth="1"/>
    <col min="39" max="39" width="12.77734375" bestFit="1" customWidth="1"/>
    <col min="40" max="40" width="22.21875" bestFit="1" customWidth="1"/>
    <col min="41" max="41" width="23.77734375" bestFit="1" customWidth="1"/>
    <col min="42" max="42" width="10.21875" bestFit="1" customWidth="1"/>
    <col min="43" max="43" width="19.6640625" bestFit="1" customWidth="1"/>
    <col min="44" max="44" width="21.33203125" bestFit="1" customWidth="1"/>
    <col min="45" max="45" width="19.44140625" bestFit="1" customWidth="1"/>
    <col min="46" max="46" width="19.88671875" bestFit="1" customWidth="1"/>
    <col min="47" max="47" width="26.5546875" bestFit="1" customWidth="1"/>
    <col min="48" max="48" width="19.21875" bestFit="1" customWidth="1"/>
    <col min="49" max="49" width="18" bestFit="1" customWidth="1"/>
    <col min="50" max="50" width="18.33203125" bestFit="1" customWidth="1"/>
    <col min="51" max="51" width="15.5546875" bestFit="1" customWidth="1"/>
    <col min="52" max="52" width="22.21875" bestFit="1" customWidth="1"/>
    <col min="53" max="53" width="34.44140625" bestFit="1" customWidth="1"/>
    <col min="54" max="54" width="15.109375" bestFit="1" customWidth="1"/>
    <col min="55" max="55" width="34.5546875" bestFit="1" customWidth="1"/>
    <col min="56" max="56" width="18.109375" bestFit="1" customWidth="1"/>
    <col min="57" max="57" width="18.77734375" bestFit="1" customWidth="1"/>
    <col min="58" max="58" width="20.77734375" bestFit="1" customWidth="1"/>
    <col min="59" max="59" width="15.6640625" bestFit="1" customWidth="1"/>
    <col min="62" max="62" width="12.77734375" bestFit="1" customWidth="1"/>
    <col min="63" max="63" width="13.109375" bestFit="1" customWidth="1"/>
    <col min="64" max="64" width="15.88671875" bestFit="1" customWidth="1"/>
    <col min="65" max="65" width="11.5546875" style="46" bestFit="1" customWidth="1"/>
    <col min="66" max="66" width="34.44140625" bestFit="1" customWidth="1"/>
    <col min="71" max="71" width="10.33203125" bestFit="1" customWidth="1"/>
    <col min="72" max="72" width="7.77734375" bestFit="1" customWidth="1"/>
    <col min="73" max="73" width="10.6640625" bestFit="1" customWidth="1"/>
    <col min="75" max="75" width="11" bestFit="1" customWidth="1"/>
    <col min="76" max="76" width="10.77734375" bestFit="1" customWidth="1"/>
    <col min="77" max="77" width="34.5546875" bestFit="1" customWidth="1"/>
    <col min="78" max="78" width="12.5546875" bestFit="1" customWidth="1"/>
    <col min="79" max="79" width="12.21875" bestFit="1" customWidth="1"/>
    <col min="80" max="80" width="8.109375" bestFit="1" customWidth="1"/>
    <col min="81" max="81" width="13.33203125" bestFit="1" customWidth="1"/>
    <col min="82" max="82" width="11.5546875" style="46" bestFit="1" customWidth="1"/>
    <col min="83" max="83" width="9" bestFit="1" customWidth="1"/>
    <col min="84" max="84" width="10.21875" bestFit="1" customWidth="1"/>
    <col min="85" max="85" width="10.77734375" bestFit="1" customWidth="1"/>
  </cols>
  <sheetData>
    <row r="1" spans="1:85" x14ac:dyDescent="0.3">
      <c r="A1" s="52" t="s">
        <v>518</v>
      </c>
      <c r="AE1" s="52" t="s">
        <v>594</v>
      </c>
      <c r="BJ1" s="52" t="s">
        <v>601</v>
      </c>
    </row>
    <row r="2" spans="1:85" x14ac:dyDescent="0.3">
      <c r="A2" t="s">
        <v>569</v>
      </c>
      <c r="B2" t="s">
        <v>570</v>
      </c>
      <c r="C2" t="s">
        <v>571</v>
      </c>
      <c r="D2" t="s">
        <v>332</v>
      </c>
      <c r="E2" t="s">
        <v>572</v>
      </c>
      <c r="F2" t="s">
        <v>573</v>
      </c>
      <c r="G2" t="s">
        <v>574</v>
      </c>
      <c r="H2" t="s">
        <v>575</v>
      </c>
      <c r="I2" t="s">
        <v>576</v>
      </c>
      <c r="J2" t="s">
        <v>577</v>
      </c>
      <c r="K2" t="s">
        <v>578</v>
      </c>
      <c r="L2" t="s">
        <v>579</v>
      </c>
      <c r="M2" t="s">
        <v>580</v>
      </c>
      <c r="N2" t="s">
        <v>581</v>
      </c>
      <c r="O2" t="s">
        <v>582</v>
      </c>
      <c r="P2" t="s">
        <v>583</v>
      </c>
      <c r="Q2" t="s">
        <v>584</v>
      </c>
      <c r="R2" t="s">
        <v>585</v>
      </c>
      <c r="S2" t="s">
        <v>586</v>
      </c>
      <c r="T2" t="s">
        <v>587</v>
      </c>
      <c r="U2" t="s">
        <v>588</v>
      </c>
      <c r="V2" t="s">
        <v>589</v>
      </c>
      <c r="W2" t="s">
        <v>590</v>
      </c>
      <c r="X2" t="s">
        <v>449</v>
      </c>
      <c r="Y2" t="s">
        <v>591</v>
      </c>
      <c r="Z2" t="s">
        <v>592</v>
      </c>
      <c r="AA2" t="s">
        <v>593</v>
      </c>
      <c r="AE2" t="s">
        <v>596</v>
      </c>
      <c r="AF2" t="s">
        <v>572</v>
      </c>
      <c r="AG2" t="s">
        <v>571</v>
      </c>
      <c r="AH2" t="s">
        <v>597</v>
      </c>
      <c r="AI2" t="s">
        <v>573</v>
      </c>
      <c r="AJ2" t="s">
        <v>598</v>
      </c>
      <c r="AK2" t="s">
        <v>574</v>
      </c>
      <c r="AL2" t="s">
        <v>575</v>
      </c>
      <c r="AM2" t="s">
        <v>576</v>
      </c>
      <c r="AN2" t="s">
        <v>577</v>
      </c>
      <c r="AO2" t="s">
        <v>333</v>
      </c>
      <c r="AP2" t="s">
        <v>578</v>
      </c>
      <c r="AQ2" t="s">
        <v>579</v>
      </c>
      <c r="AR2" t="s">
        <v>580</v>
      </c>
      <c r="AS2" t="s">
        <v>581</v>
      </c>
      <c r="AT2" t="s">
        <v>582</v>
      </c>
      <c r="AU2" t="s">
        <v>599</v>
      </c>
      <c r="AV2" t="s">
        <v>584</v>
      </c>
      <c r="AW2" t="s">
        <v>585</v>
      </c>
      <c r="AX2" t="s">
        <v>586</v>
      </c>
      <c r="AY2" t="s">
        <v>600</v>
      </c>
      <c r="AZ2" t="s">
        <v>588</v>
      </c>
      <c r="BA2" t="s">
        <v>589</v>
      </c>
      <c r="BB2" t="s">
        <v>590</v>
      </c>
      <c r="BC2" t="s">
        <v>449</v>
      </c>
      <c r="BD2" t="s">
        <v>591</v>
      </c>
      <c r="BE2" t="s">
        <v>592</v>
      </c>
      <c r="BF2" t="s">
        <v>593</v>
      </c>
      <c r="BG2" t="s">
        <v>332</v>
      </c>
      <c r="BJ2" t="s">
        <v>1</v>
      </c>
      <c r="BK2" t="s">
        <v>604</v>
      </c>
      <c r="BL2" t="s">
        <v>605</v>
      </c>
      <c r="BM2" s="46" t="s">
        <v>11</v>
      </c>
      <c r="BN2" t="s">
        <v>606</v>
      </c>
      <c r="BO2" t="s">
        <v>19</v>
      </c>
      <c r="BP2" t="s">
        <v>21</v>
      </c>
      <c r="BQ2" t="s">
        <v>574</v>
      </c>
      <c r="BR2" t="s">
        <v>607</v>
      </c>
      <c r="BS2" t="s">
        <v>608</v>
      </c>
      <c r="BT2" t="s">
        <v>609</v>
      </c>
      <c r="BU2" t="s">
        <v>610</v>
      </c>
      <c r="BV2" t="s">
        <v>611</v>
      </c>
      <c r="BW2" t="s">
        <v>612</v>
      </c>
      <c r="BX2" t="s">
        <v>613</v>
      </c>
      <c r="BY2" t="s">
        <v>614</v>
      </c>
      <c r="BZ2" t="s">
        <v>615</v>
      </c>
      <c r="CA2" t="s">
        <v>616</v>
      </c>
      <c r="CB2" t="s">
        <v>617</v>
      </c>
      <c r="CC2" t="s">
        <v>618</v>
      </c>
      <c r="CD2" s="46" t="s">
        <v>619</v>
      </c>
      <c r="CE2" t="s">
        <v>620</v>
      </c>
      <c r="CF2" t="s">
        <v>621</v>
      </c>
      <c r="CG2" t="s">
        <v>622</v>
      </c>
    </row>
    <row r="3" spans="1:85" x14ac:dyDescent="0.3">
      <c r="A3">
        <v>2828</v>
      </c>
      <c r="B3">
        <v>132253</v>
      </c>
      <c r="C3" s="22">
        <v>42888</v>
      </c>
      <c r="D3">
        <v>6117</v>
      </c>
      <c r="G3">
        <v>132253</v>
      </c>
      <c r="H3" t="s">
        <v>519</v>
      </c>
      <c r="K3" t="s">
        <v>520</v>
      </c>
      <c r="L3">
        <v>3236845289</v>
      </c>
      <c r="M3">
        <v>0</v>
      </c>
      <c r="N3">
        <v>1</v>
      </c>
      <c r="O3">
        <v>51</v>
      </c>
      <c r="P3">
        <v>2</v>
      </c>
      <c r="Q3">
        <v>494</v>
      </c>
      <c r="R3">
        <v>0</v>
      </c>
      <c r="S3">
        <v>0</v>
      </c>
      <c r="T3" t="s">
        <v>521</v>
      </c>
      <c r="U3">
        <v>0</v>
      </c>
      <c r="V3" t="s">
        <v>522</v>
      </c>
      <c r="W3">
        <v>548</v>
      </c>
      <c r="X3" t="s">
        <v>523</v>
      </c>
      <c r="Y3">
        <v>16864</v>
      </c>
      <c r="Z3">
        <v>1</v>
      </c>
      <c r="AA3">
        <v>1</v>
      </c>
      <c r="AE3">
        <v>186461</v>
      </c>
      <c r="AG3" s="22">
        <v>42888</v>
      </c>
      <c r="AH3" t="s">
        <v>595</v>
      </c>
      <c r="AJ3">
        <v>3406</v>
      </c>
      <c r="AK3">
        <v>132253</v>
      </c>
      <c r="AL3" t="s">
        <v>519</v>
      </c>
      <c r="AO3" t="s">
        <v>261</v>
      </c>
      <c r="AP3" t="s">
        <v>520</v>
      </c>
      <c r="AQ3">
        <v>3236845289</v>
      </c>
      <c r="AR3">
        <v>0</v>
      </c>
      <c r="AS3">
        <v>1</v>
      </c>
      <c r="AT3">
        <v>51</v>
      </c>
      <c r="AU3">
        <v>2</v>
      </c>
      <c r="AV3">
        <v>494</v>
      </c>
      <c r="AW3">
        <v>0</v>
      </c>
      <c r="AX3">
        <v>0</v>
      </c>
      <c r="AY3" t="s">
        <v>521</v>
      </c>
      <c r="AZ3">
        <v>0</v>
      </c>
      <c r="BA3" t="s">
        <v>522</v>
      </c>
      <c r="BB3">
        <v>548</v>
      </c>
      <c r="BC3" t="s">
        <v>523</v>
      </c>
      <c r="BD3">
        <v>16864</v>
      </c>
      <c r="BE3">
        <v>1</v>
      </c>
      <c r="BF3">
        <v>1</v>
      </c>
      <c r="BG3">
        <v>6117</v>
      </c>
      <c r="BJ3">
        <v>6117</v>
      </c>
      <c r="BK3">
        <v>13</v>
      </c>
      <c r="BL3">
        <v>9931</v>
      </c>
      <c r="BM3" s="46">
        <v>42888.461509606481</v>
      </c>
      <c r="BN3" t="s">
        <v>522</v>
      </c>
      <c r="BO3">
        <v>494</v>
      </c>
      <c r="BP3">
        <v>51</v>
      </c>
      <c r="BQ3">
        <v>132253</v>
      </c>
      <c r="BR3">
        <v>16864</v>
      </c>
      <c r="BS3">
        <v>0</v>
      </c>
      <c r="BT3">
        <v>0</v>
      </c>
      <c r="BU3" t="s">
        <v>602</v>
      </c>
      <c r="BV3" t="s">
        <v>603</v>
      </c>
      <c r="BW3">
        <v>3236845289</v>
      </c>
      <c r="BX3">
        <v>1</v>
      </c>
      <c r="BY3" t="s">
        <v>523</v>
      </c>
      <c r="BZ3">
        <v>2</v>
      </c>
      <c r="CA3">
        <v>0</v>
      </c>
      <c r="CB3">
        <v>548</v>
      </c>
      <c r="CC3" t="s">
        <v>521</v>
      </c>
      <c r="CD3" s="46">
        <v>42888.711509606481</v>
      </c>
      <c r="CE3">
        <v>1</v>
      </c>
      <c r="CF3">
        <v>0</v>
      </c>
      <c r="CG3">
        <v>0</v>
      </c>
    </row>
    <row r="4" spans="1:85" x14ac:dyDescent="0.3">
      <c r="A4">
        <v>641</v>
      </c>
      <c r="B4">
        <v>110752</v>
      </c>
      <c r="C4" s="22">
        <v>42888</v>
      </c>
      <c r="D4">
        <v>6117</v>
      </c>
      <c r="G4">
        <v>110752</v>
      </c>
      <c r="H4" t="s">
        <v>519</v>
      </c>
      <c r="K4" t="s">
        <v>520</v>
      </c>
      <c r="L4">
        <v>9169731434</v>
      </c>
      <c r="M4">
        <v>0</v>
      </c>
      <c r="N4">
        <v>1</v>
      </c>
      <c r="O4">
        <v>0</v>
      </c>
      <c r="P4">
        <v>2</v>
      </c>
      <c r="Q4">
        <v>471</v>
      </c>
      <c r="R4">
        <v>0</v>
      </c>
      <c r="S4">
        <v>0</v>
      </c>
      <c r="T4" t="s">
        <v>521</v>
      </c>
      <c r="U4">
        <v>0</v>
      </c>
      <c r="V4" t="s">
        <v>524</v>
      </c>
      <c r="W4">
        <v>475</v>
      </c>
      <c r="X4" t="s">
        <v>525</v>
      </c>
      <c r="Y4">
        <v>9264</v>
      </c>
      <c r="Z4">
        <v>1</v>
      </c>
      <c r="AA4">
        <v>1</v>
      </c>
      <c r="AE4">
        <v>186448</v>
      </c>
      <c r="AG4" s="22">
        <v>42888</v>
      </c>
      <c r="AH4" t="s">
        <v>595</v>
      </c>
      <c r="AJ4">
        <v>2644</v>
      </c>
      <c r="AK4">
        <v>110752</v>
      </c>
      <c r="AL4" t="s">
        <v>519</v>
      </c>
      <c r="AO4" t="s">
        <v>261</v>
      </c>
      <c r="AP4" t="s">
        <v>520</v>
      </c>
      <c r="AQ4">
        <v>9169731434</v>
      </c>
      <c r="AR4">
        <v>0</v>
      </c>
      <c r="AS4">
        <v>1</v>
      </c>
      <c r="AT4">
        <v>0</v>
      </c>
      <c r="AU4">
        <v>2</v>
      </c>
      <c r="AV4">
        <v>471</v>
      </c>
      <c r="AW4">
        <v>0</v>
      </c>
      <c r="AX4">
        <v>0</v>
      </c>
      <c r="AY4" t="s">
        <v>521</v>
      </c>
      <c r="AZ4">
        <v>0</v>
      </c>
      <c r="BA4" t="s">
        <v>524</v>
      </c>
      <c r="BB4">
        <v>475</v>
      </c>
      <c r="BC4" t="s">
        <v>525</v>
      </c>
      <c r="BD4">
        <v>9264</v>
      </c>
      <c r="BE4">
        <v>1</v>
      </c>
      <c r="BF4">
        <v>1</v>
      </c>
      <c r="BG4">
        <v>6117</v>
      </c>
      <c r="BJ4">
        <v>6117</v>
      </c>
      <c r="BK4">
        <v>13</v>
      </c>
      <c r="BL4">
        <v>8810</v>
      </c>
      <c r="BM4" s="46">
        <v>42888.383263194446</v>
      </c>
      <c r="BN4" t="s">
        <v>524</v>
      </c>
      <c r="BO4">
        <v>471</v>
      </c>
      <c r="BP4">
        <v>0</v>
      </c>
      <c r="BQ4">
        <v>110752</v>
      </c>
      <c r="BR4">
        <v>9264</v>
      </c>
      <c r="BS4">
        <v>0</v>
      </c>
      <c r="BT4">
        <v>0</v>
      </c>
      <c r="BU4" t="s">
        <v>602</v>
      </c>
      <c r="BV4" t="s">
        <v>603</v>
      </c>
      <c r="BW4">
        <v>9169731434</v>
      </c>
      <c r="BX4">
        <v>1</v>
      </c>
      <c r="BY4" t="s">
        <v>525</v>
      </c>
      <c r="BZ4">
        <v>2</v>
      </c>
      <c r="CA4">
        <v>0</v>
      </c>
      <c r="CB4">
        <v>475</v>
      </c>
      <c r="CC4" t="s">
        <v>521</v>
      </c>
      <c r="CD4" s="46">
        <v>42888.633263194446</v>
      </c>
      <c r="CE4">
        <v>1</v>
      </c>
      <c r="CF4">
        <v>0</v>
      </c>
      <c r="CG4">
        <v>0</v>
      </c>
    </row>
    <row r="5" spans="1:85" x14ac:dyDescent="0.3">
      <c r="A5">
        <v>2815</v>
      </c>
      <c r="B5">
        <v>132237</v>
      </c>
      <c r="C5" s="22">
        <v>42888</v>
      </c>
      <c r="D5">
        <v>6117</v>
      </c>
      <c r="G5">
        <v>132237</v>
      </c>
      <c r="H5" t="s">
        <v>519</v>
      </c>
      <c r="K5" t="s">
        <v>520</v>
      </c>
      <c r="L5">
        <v>8182630544</v>
      </c>
      <c r="M5">
        <v>47</v>
      </c>
      <c r="N5">
        <v>1</v>
      </c>
      <c r="O5">
        <v>0</v>
      </c>
      <c r="P5">
        <v>2</v>
      </c>
      <c r="Q5">
        <v>773</v>
      </c>
      <c r="R5">
        <v>47</v>
      </c>
      <c r="S5">
        <v>0</v>
      </c>
      <c r="T5" t="s">
        <v>521</v>
      </c>
      <c r="U5">
        <v>0</v>
      </c>
      <c r="V5" t="s">
        <v>526</v>
      </c>
      <c r="W5">
        <v>823</v>
      </c>
      <c r="X5" t="s">
        <v>527</v>
      </c>
      <c r="Y5">
        <v>19048</v>
      </c>
      <c r="Z5">
        <v>1</v>
      </c>
      <c r="AA5">
        <v>1</v>
      </c>
      <c r="AE5">
        <v>186457</v>
      </c>
      <c r="AG5" s="22">
        <v>42888</v>
      </c>
      <c r="AH5" t="s">
        <v>595</v>
      </c>
      <c r="AJ5">
        <v>1652</v>
      </c>
      <c r="AK5">
        <v>132237</v>
      </c>
      <c r="AL5" t="s">
        <v>519</v>
      </c>
      <c r="AO5" t="s">
        <v>261</v>
      </c>
      <c r="AP5" t="s">
        <v>520</v>
      </c>
      <c r="AQ5">
        <v>8182630544</v>
      </c>
      <c r="AR5">
        <v>47</v>
      </c>
      <c r="AS5">
        <v>1</v>
      </c>
      <c r="AT5">
        <v>0</v>
      </c>
      <c r="AU5">
        <v>2</v>
      </c>
      <c r="AV5">
        <v>773</v>
      </c>
      <c r="AW5">
        <v>47</v>
      </c>
      <c r="AX5">
        <v>0</v>
      </c>
      <c r="AY5" t="s">
        <v>521</v>
      </c>
      <c r="AZ5">
        <v>0</v>
      </c>
      <c r="BA5" t="s">
        <v>526</v>
      </c>
      <c r="BB5">
        <v>823</v>
      </c>
      <c r="BC5" t="s">
        <v>527</v>
      </c>
      <c r="BD5">
        <v>19048</v>
      </c>
      <c r="BE5">
        <v>1</v>
      </c>
      <c r="BF5">
        <v>1</v>
      </c>
      <c r="BG5">
        <v>6117</v>
      </c>
      <c r="BJ5">
        <v>6117</v>
      </c>
      <c r="BK5">
        <v>13</v>
      </c>
      <c r="BL5">
        <v>9919</v>
      </c>
      <c r="BM5" s="46">
        <v>42888.489194641203</v>
      </c>
      <c r="BN5" t="s">
        <v>526</v>
      </c>
      <c r="BO5">
        <v>773</v>
      </c>
      <c r="BP5">
        <v>0</v>
      </c>
      <c r="BQ5">
        <v>132237</v>
      </c>
      <c r="BR5">
        <v>19048</v>
      </c>
      <c r="BS5">
        <v>47</v>
      </c>
      <c r="BT5">
        <v>47</v>
      </c>
      <c r="BU5" t="s">
        <v>602</v>
      </c>
      <c r="BV5" t="s">
        <v>603</v>
      </c>
      <c r="BW5">
        <v>8182630544</v>
      </c>
      <c r="BX5">
        <v>1</v>
      </c>
      <c r="BY5" t="s">
        <v>527</v>
      </c>
      <c r="BZ5">
        <v>2</v>
      </c>
      <c r="CA5">
        <v>0</v>
      </c>
      <c r="CB5">
        <v>823</v>
      </c>
      <c r="CC5" t="s">
        <v>521</v>
      </c>
      <c r="CD5" s="46">
        <v>42888.739194641203</v>
      </c>
      <c r="CE5">
        <v>1</v>
      </c>
      <c r="CF5">
        <v>0</v>
      </c>
      <c r="CG5">
        <v>0</v>
      </c>
    </row>
    <row r="6" spans="1:85" x14ac:dyDescent="0.3">
      <c r="A6">
        <v>2476</v>
      </c>
      <c r="B6">
        <v>128934</v>
      </c>
      <c r="C6" s="22">
        <v>42888</v>
      </c>
      <c r="D6">
        <v>6117</v>
      </c>
      <c r="G6">
        <v>128934</v>
      </c>
      <c r="H6" t="s">
        <v>528</v>
      </c>
      <c r="K6" t="s">
        <v>520</v>
      </c>
      <c r="L6">
        <v>9513603070</v>
      </c>
      <c r="M6">
        <v>284</v>
      </c>
      <c r="N6">
        <v>1</v>
      </c>
      <c r="O6">
        <v>92</v>
      </c>
      <c r="P6">
        <v>0</v>
      </c>
      <c r="Q6">
        <v>348</v>
      </c>
      <c r="R6">
        <v>284</v>
      </c>
      <c r="S6">
        <v>0</v>
      </c>
      <c r="T6" t="s">
        <v>521</v>
      </c>
      <c r="U6">
        <v>0</v>
      </c>
      <c r="V6" t="s">
        <v>529</v>
      </c>
      <c r="W6">
        <v>725</v>
      </c>
      <c r="X6" t="s">
        <v>530</v>
      </c>
      <c r="Y6">
        <v>28651</v>
      </c>
      <c r="Z6">
        <v>1</v>
      </c>
      <c r="AA6">
        <v>1</v>
      </c>
      <c r="AE6">
        <v>186447</v>
      </c>
      <c r="AG6" s="22">
        <v>42888</v>
      </c>
      <c r="AH6" t="s">
        <v>595</v>
      </c>
      <c r="AJ6">
        <v>1566</v>
      </c>
      <c r="AK6">
        <v>128934</v>
      </c>
      <c r="AL6" t="s">
        <v>528</v>
      </c>
      <c r="AO6" t="s">
        <v>261</v>
      </c>
      <c r="AP6" t="s">
        <v>520</v>
      </c>
      <c r="AQ6">
        <v>9513603070</v>
      </c>
      <c r="AR6">
        <v>284</v>
      </c>
      <c r="AS6">
        <v>1</v>
      </c>
      <c r="AT6">
        <v>92</v>
      </c>
      <c r="AU6">
        <v>0</v>
      </c>
      <c r="AV6">
        <v>348</v>
      </c>
      <c r="AW6">
        <v>284</v>
      </c>
      <c r="AX6">
        <v>0</v>
      </c>
      <c r="AY6" t="s">
        <v>521</v>
      </c>
      <c r="AZ6">
        <v>0</v>
      </c>
      <c r="BA6" t="s">
        <v>529</v>
      </c>
      <c r="BB6">
        <v>725</v>
      </c>
      <c r="BC6" t="s">
        <v>530</v>
      </c>
      <c r="BD6">
        <v>28651</v>
      </c>
      <c r="BE6">
        <v>1</v>
      </c>
      <c r="BF6">
        <v>1</v>
      </c>
      <c r="BG6">
        <v>6117</v>
      </c>
      <c r="BJ6">
        <v>6117</v>
      </c>
      <c r="BK6">
        <v>6</v>
      </c>
      <c r="BL6">
        <v>9711</v>
      </c>
      <c r="BM6" s="46">
        <v>42888.606758530092</v>
      </c>
      <c r="BN6" t="s">
        <v>529</v>
      </c>
      <c r="BO6">
        <v>348</v>
      </c>
      <c r="BP6">
        <v>92</v>
      </c>
      <c r="BQ6">
        <v>128934</v>
      </c>
      <c r="BR6">
        <v>28651</v>
      </c>
      <c r="BS6">
        <v>284</v>
      </c>
      <c r="BT6">
        <v>284</v>
      </c>
      <c r="BU6" t="s">
        <v>602</v>
      </c>
      <c r="BV6" t="s">
        <v>603</v>
      </c>
      <c r="BW6">
        <v>9513603070</v>
      </c>
      <c r="BX6">
        <v>1</v>
      </c>
      <c r="BY6" t="s">
        <v>530</v>
      </c>
      <c r="BZ6">
        <v>0</v>
      </c>
      <c r="CA6">
        <v>0</v>
      </c>
      <c r="CB6">
        <v>725</v>
      </c>
      <c r="CC6" t="s">
        <v>521</v>
      </c>
      <c r="CD6" s="46">
        <v>42888.856758530092</v>
      </c>
      <c r="CE6">
        <v>1</v>
      </c>
      <c r="CF6">
        <v>0</v>
      </c>
      <c r="CG6">
        <v>0</v>
      </c>
    </row>
    <row r="7" spans="1:85" x14ac:dyDescent="0.3">
      <c r="A7">
        <v>2476</v>
      </c>
      <c r="B7">
        <v>128934</v>
      </c>
      <c r="C7" s="22">
        <v>42888</v>
      </c>
      <c r="D7">
        <v>6117</v>
      </c>
      <c r="G7">
        <v>128934</v>
      </c>
      <c r="H7" t="s">
        <v>519</v>
      </c>
      <c r="K7" t="s">
        <v>520</v>
      </c>
      <c r="L7">
        <v>5103581902</v>
      </c>
      <c r="M7">
        <v>39</v>
      </c>
      <c r="N7">
        <v>2</v>
      </c>
      <c r="O7">
        <v>0</v>
      </c>
      <c r="P7">
        <v>2</v>
      </c>
      <c r="Q7">
        <v>645</v>
      </c>
      <c r="R7">
        <v>39</v>
      </c>
      <c r="S7">
        <v>0</v>
      </c>
      <c r="T7" t="s">
        <v>521</v>
      </c>
      <c r="U7">
        <v>0</v>
      </c>
      <c r="V7" t="s">
        <v>531</v>
      </c>
      <c r="W7">
        <v>688</v>
      </c>
      <c r="X7" t="s">
        <v>532</v>
      </c>
      <c r="Y7">
        <v>34516</v>
      </c>
      <c r="Z7">
        <v>1</v>
      </c>
      <c r="AA7">
        <v>1</v>
      </c>
      <c r="AE7">
        <v>186455</v>
      </c>
      <c r="AG7" s="22">
        <v>42888</v>
      </c>
      <c r="AH7" t="s">
        <v>595</v>
      </c>
      <c r="AJ7">
        <v>1566</v>
      </c>
      <c r="AK7">
        <v>128934</v>
      </c>
      <c r="AL7" t="s">
        <v>519</v>
      </c>
      <c r="AO7" t="s">
        <v>261</v>
      </c>
      <c r="AP7" t="s">
        <v>520</v>
      </c>
      <c r="AQ7">
        <v>5103581902</v>
      </c>
      <c r="AR7">
        <v>39</v>
      </c>
      <c r="AS7">
        <v>2</v>
      </c>
      <c r="AT7">
        <v>0</v>
      </c>
      <c r="AU7">
        <v>2</v>
      </c>
      <c r="AV7">
        <v>645</v>
      </c>
      <c r="AW7">
        <v>39</v>
      </c>
      <c r="AX7">
        <v>0</v>
      </c>
      <c r="AY7" t="s">
        <v>521</v>
      </c>
      <c r="AZ7">
        <v>0</v>
      </c>
      <c r="BA7" t="s">
        <v>531</v>
      </c>
      <c r="BB7">
        <v>688</v>
      </c>
      <c r="BC7" t="s">
        <v>532</v>
      </c>
      <c r="BD7">
        <v>34516</v>
      </c>
      <c r="BE7">
        <v>1</v>
      </c>
      <c r="BF7">
        <v>1</v>
      </c>
      <c r="BG7">
        <v>6117</v>
      </c>
      <c r="BJ7">
        <v>6117</v>
      </c>
      <c r="BK7">
        <v>13</v>
      </c>
      <c r="BL7">
        <v>9711</v>
      </c>
      <c r="BM7" s="46">
        <v>42888.68321087963</v>
      </c>
      <c r="BN7" t="s">
        <v>531</v>
      </c>
      <c r="BO7">
        <v>645</v>
      </c>
      <c r="BP7">
        <v>0</v>
      </c>
      <c r="BQ7">
        <v>128934</v>
      </c>
      <c r="BR7">
        <v>34516</v>
      </c>
      <c r="BS7">
        <v>39</v>
      </c>
      <c r="BT7">
        <v>39</v>
      </c>
      <c r="BU7" t="s">
        <v>602</v>
      </c>
      <c r="BV7" t="s">
        <v>603</v>
      </c>
      <c r="BW7">
        <v>5103581902</v>
      </c>
      <c r="BX7">
        <v>2</v>
      </c>
      <c r="BY7" t="s">
        <v>532</v>
      </c>
      <c r="BZ7">
        <v>2</v>
      </c>
      <c r="CA7">
        <v>0</v>
      </c>
      <c r="CB7">
        <v>688</v>
      </c>
      <c r="CC7" t="s">
        <v>521</v>
      </c>
      <c r="CD7" s="46">
        <v>42888.93321087963</v>
      </c>
      <c r="CE7">
        <v>1</v>
      </c>
      <c r="CF7">
        <v>0</v>
      </c>
      <c r="CG7">
        <v>0</v>
      </c>
    </row>
    <row r="8" spans="1:85" x14ac:dyDescent="0.3">
      <c r="A8">
        <v>2828</v>
      </c>
      <c r="B8">
        <v>132253</v>
      </c>
      <c r="C8" s="22">
        <v>42888</v>
      </c>
      <c r="D8">
        <v>6117</v>
      </c>
      <c r="G8">
        <v>132253</v>
      </c>
      <c r="H8" t="s">
        <v>519</v>
      </c>
      <c r="K8" t="s">
        <v>520</v>
      </c>
      <c r="L8">
        <v>4422319323</v>
      </c>
      <c r="M8">
        <v>0</v>
      </c>
      <c r="N8">
        <v>1</v>
      </c>
      <c r="O8">
        <v>0</v>
      </c>
      <c r="P8">
        <v>2</v>
      </c>
      <c r="Q8">
        <v>664</v>
      </c>
      <c r="R8">
        <v>0</v>
      </c>
      <c r="S8">
        <v>0</v>
      </c>
      <c r="T8" t="s">
        <v>521</v>
      </c>
      <c r="U8">
        <v>0</v>
      </c>
      <c r="V8" t="s">
        <v>533</v>
      </c>
      <c r="W8">
        <v>667</v>
      </c>
      <c r="X8" t="s">
        <v>534</v>
      </c>
      <c r="Y8">
        <v>10460</v>
      </c>
      <c r="Z8">
        <v>1</v>
      </c>
      <c r="AA8">
        <v>1</v>
      </c>
      <c r="AE8">
        <v>186460</v>
      </c>
      <c r="AG8" s="22">
        <v>42888</v>
      </c>
      <c r="AH8" t="s">
        <v>595</v>
      </c>
      <c r="AJ8">
        <v>3406</v>
      </c>
      <c r="AK8">
        <v>132253</v>
      </c>
      <c r="AL8" t="s">
        <v>519</v>
      </c>
      <c r="AO8" t="s">
        <v>261</v>
      </c>
      <c r="AP8" t="s">
        <v>520</v>
      </c>
      <c r="AQ8">
        <v>4422319323</v>
      </c>
      <c r="AR8">
        <v>0</v>
      </c>
      <c r="AS8">
        <v>1</v>
      </c>
      <c r="AT8">
        <v>0</v>
      </c>
      <c r="AU8">
        <v>2</v>
      </c>
      <c r="AV8">
        <v>664</v>
      </c>
      <c r="AW8">
        <v>0</v>
      </c>
      <c r="AX8">
        <v>0</v>
      </c>
      <c r="AY8" t="s">
        <v>521</v>
      </c>
      <c r="AZ8">
        <v>0</v>
      </c>
      <c r="BA8" t="s">
        <v>533</v>
      </c>
      <c r="BB8">
        <v>667</v>
      </c>
      <c r="BC8" t="s">
        <v>534</v>
      </c>
      <c r="BD8">
        <v>10460</v>
      </c>
      <c r="BE8">
        <v>1</v>
      </c>
      <c r="BF8">
        <v>1</v>
      </c>
      <c r="BG8">
        <v>6117</v>
      </c>
      <c r="BJ8">
        <v>6117</v>
      </c>
      <c r="BK8">
        <v>13</v>
      </c>
      <c r="BL8">
        <v>9931</v>
      </c>
      <c r="BM8" s="46">
        <v>42888.397672951389</v>
      </c>
      <c r="BN8" t="s">
        <v>533</v>
      </c>
      <c r="BO8">
        <v>664</v>
      </c>
      <c r="BP8">
        <v>0</v>
      </c>
      <c r="BQ8">
        <v>132253</v>
      </c>
      <c r="BR8">
        <v>10460</v>
      </c>
      <c r="BS8">
        <v>0</v>
      </c>
      <c r="BT8">
        <v>0</v>
      </c>
      <c r="BU8" t="s">
        <v>602</v>
      </c>
      <c r="BV8" t="s">
        <v>603</v>
      </c>
      <c r="BW8">
        <v>4422319323</v>
      </c>
      <c r="BX8">
        <v>1</v>
      </c>
      <c r="BY8" t="s">
        <v>534</v>
      </c>
      <c r="BZ8">
        <v>2</v>
      </c>
      <c r="CA8">
        <v>0</v>
      </c>
      <c r="CB8">
        <v>667</v>
      </c>
      <c r="CC8" t="s">
        <v>521</v>
      </c>
      <c r="CD8" s="46">
        <v>42888.647672951389</v>
      </c>
      <c r="CE8">
        <v>1</v>
      </c>
      <c r="CF8">
        <v>0</v>
      </c>
      <c r="CG8">
        <v>0</v>
      </c>
    </row>
    <row r="9" spans="1:85" x14ac:dyDescent="0.3">
      <c r="A9">
        <v>2476</v>
      </c>
      <c r="B9">
        <v>128934</v>
      </c>
      <c r="C9" s="22">
        <v>42888</v>
      </c>
      <c r="D9">
        <v>6117</v>
      </c>
      <c r="G9">
        <v>128934</v>
      </c>
      <c r="H9" t="s">
        <v>535</v>
      </c>
      <c r="K9" t="s">
        <v>520</v>
      </c>
      <c r="L9">
        <v>8186992983</v>
      </c>
      <c r="M9">
        <v>39</v>
      </c>
      <c r="N9">
        <v>1</v>
      </c>
      <c r="O9">
        <v>84</v>
      </c>
      <c r="P9">
        <v>2</v>
      </c>
      <c r="Q9">
        <v>108</v>
      </c>
      <c r="R9">
        <v>39</v>
      </c>
      <c r="S9">
        <v>0</v>
      </c>
      <c r="T9" t="s">
        <v>521</v>
      </c>
      <c r="U9">
        <v>0</v>
      </c>
      <c r="V9" t="s">
        <v>536</v>
      </c>
      <c r="W9">
        <v>234</v>
      </c>
      <c r="X9" t="s">
        <v>537</v>
      </c>
      <c r="Y9">
        <v>29524</v>
      </c>
      <c r="Z9">
        <v>1</v>
      </c>
      <c r="AA9">
        <v>1</v>
      </c>
      <c r="AE9">
        <v>186467</v>
      </c>
      <c r="AG9" s="22">
        <v>42888</v>
      </c>
      <c r="AH9" t="s">
        <v>595</v>
      </c>
      <c r="AJ9">
        <v>1566</v>
      </c>
      <c r="AK9">
        <v>128934</v>
      </c>
      <c r="AL9" t="s">
        <v>535</v>
      </c>
      <c r="AO9" t="s">
        <v>261</v>
      </c>
      <c r="AP9" t="s">
        <v>520</v>
      </c>
      <c r="AQ9">
        <v>8186992983</v>
      </c>
      <c r="AR9">
        <v>39</v>
      </c>
      <c r="AS9">
        <v>1</v>
      </c>
      <c r="AT9">
        <v>84</v>
      </c>
      <c r="AU9">
        <v>2</v>
      </c>
      <c r="AV9">
        <v>108</v>
      </c>
      <c r="AW9">
        <v>39</v>
      </c>
      <c r="AX9">
        <v>0</v>
      </c>
      <c r="AY9" t="s">
        <v>521</v>
      </c>
      <c r="AZ9">
        <v>0</v>
      </c>
      <c r="BA9" t="s">
        <v>536</v>
      </c>
      <c r="BB9">
        <v>234</v>
      </c>
      <c r="BC9" t="s">
        <v>537</v>
      </c>
      <c r="BD9">
        <v>29524</v>
      </c>
      <c r="BE9">
        <v>1</v>
      </c>
      <c r="BF9">
        <v>1</v>
      </c>
      <c r="BG9">
        <v>6117</v>
      </c>
      <c r="BJ9">
        <v>6117</v>
      </c>
      <c r="BK9">
        <v>30</v>
      </c>
      <c r="BL9">
        <v>9711</v>
      </c>
      <c r="BM9" s="46">
        <v>42888.592510798611</v>
      </c>
      <c r="BN9" t="s">
        <v>536</v>
      </c>
      <c r="BO9">
        <v>108</v>
      </c>
      <c r="BP9">
        <v>84</v>
      </c>
      <c r="BQ9">
        <v>128934</v>
      </c>
      <c r="BR9">
        <v>29524</v>
      </c>
      <c r="BS9">
        <v>39</v>
      </c>
      <c r="BT9">
        <v>39</v>
      </c>
      <c r="BU9" t="s">
        <v>602</v>
      </c>
      <c r="BV9" t="s">
        <v>603</v>
      </c>
      <c r="BW9">
        <v>8186992983</v>
      </c>
      <c r="BX9">
        <v>1</v>
      </c>
      <c r="BY9" t="s">
        <v>537</v>
      </c>
      <c r="BZ9">
        <v>2</v>
      </c>
      <c r="CA9">
        <v>0</v>
      </c>
      <c r="CB9">
        <v>234</v>
      </c>
      <c r="CC9" t="s">
        <v>521</v>
      </c>
      <c r="CD9" s="46">
        <v>42888.842510798611</v>
      </c>
      <c r="CE9">
        <v>1</v>
      </c>
      <c r="CF9">
        <v>0</v>
      </c>
      <c r="CG9">
        <v>0</v>
      </c>
    </row>
    <row r="10" spans="1:85" x14ac:dyDescent="0.3">
      <c r="A10">
        <v>2828</v>
      </c>
      <c r="B10">
        <v>132253</v>
      </c>
      <c r="C10" s="22">
        <v>42888</v>
      </c>
      <c r="D10">
        <v>6117</v>
      </c>
      <c r="G10">
        <v>132253</v>
      </c>
      <c r="H10" t="s">
        <v>519</v>
      </c>
      <c r="K10" t="s">
        <v>520</v>
      </c>
      <c r="L10">
        <v>5595130902</v>
      </c>
      <c r="M10">
        <v>178</v>
      </c>
      <c r="N10">
        <v>1</v>
      </c>
      <c r="O10">
        <v>0</v>
      </c>
      <c r="P10">
        <v>2</v>
      </c>
      <c r="Q10">
        <v>491</v>
      </c>
      <c r="R10">
        <v>178</v>
      </c>
      <c r="S10">
        <v>0</v>
      </c>
      <c r="T10" t="s">
        <v>521</v>
      </c>
      <c r="U10">
        <v>0</v>
      </c>
      <c r="V10" t="s">
        <v>538</v>
      </c>
      <c r="W10">
        <v>672</v>
      </c>
      <c r="X10" t="s">
        <v>539</v>
      </c>
      <c r="Y10">
        <v>35628</v>
      </c>
      <c r="Z10">
        <v>1</v>
      </c>
      <c r="AA10">
        <v>1</v>
      </c>
      <c r="AE10">
        <v>186465</v>
      </c>
      <c r="AG10" s="22">
        <v>42888</v>
      </c>
      <c r="AH10" t="s">
        <v>595</v>
      </c>
      <c r="AJ10">
        <v>3406</v>
      </c>
      <c r="AK10">
        <v>132253</v>
      </c>
      <c r="AL10" t="s">
        <v>519</v>
      </c>
      <c r="AO10" t="s">
        <v>261</v>
      </c>
      <c r="AP10" t="s">
        <v>520</v>
      </c>
      <c r="AQ10">
        <v>5595130902</v>
      </c>
      <c r="AR10">
        <v>178</v>
      </c>
      <c r="AS10">
        <v>1</v>
      </c>
      <c r="AT10">
        <v>0</v>
      </c>
      <c r="AU10">
        <v>2</v>
      </c>
      <c r="AV10">
        <v>491</v>
      </c>
      <c r="AW10">
        <v>178</v>
      </c>
      <c r="AX10">
        <v>0</v>
      </c>
      <c r="AY10" t="s">
        <v>521</v>
      </c>
      <c r="AZ10">
        <v>0</v>
      </c>
      <c r="BA10" t="s">
        <v>538</v>
      </c>
      <c r="BB10">
        <v>672</v>
      </c>
      <c r="BC10" t="s">
        <v>539</v>
      </c>
      <c r="BD10">
        <v>35628</v>
      </c>
      <c r="BE10">
        <v>1</v>
      </c>
      <c r="BF10">
        <v>1</v>
      </c>
      <c r="BG10">
        <v>6117</v>
      </c>
      <c r="BJ10">
        <v>6117</v>
      </c>
      <c r="BK10">
        <v>13</v>
      </c>
      <c r="BL10">
        <v>9931</v>
      </c>
      <c r="BM10" s="46">
        <v>42888.701214548608</v>
      </c>
      <c r="BN10" t="s">
        <v>538</v>
      </c>
      <c r="BO10">
        <v>491</v>
      </c>
      <c r="BP10">
        <v>0</v>
      </c>
      <c r="BQ10">
        <v>132253</v>
      </c>
      <c r="BR10">
        <v>35628</v>
      </c>
      <c r="BS10">
        <v>178</v>
      </c>
      <c r="BT10">
        <v>178</v>
      </c>
      <c r="BU10" t="s">
        <v>602</v>
      </c>
      <c r="BV10" t="s">
        <v>603</v>
      </c>
      <c r="BW10">
        <v>5595130902</v>
      </c>
      <c r="BX10">
        <v>1</v>
      </c>
      <c r="BY10" t="s">
        <v>539</v>
      </c>
      <c r="BZ10">
        <v>2</v>
      </c>
      <c r="CA10">
        <v>0</v>
      </c>
      <c r="CB10">
        <v>672</v>
      </c>
      <c r="CC10" t="s">
        <v>521</v>
      </c>
      <c r="CD10" s="46">
        <v>42888.951214548608</v>
      </c>
      <c r="CE10">
        <v>1</v>
      </c>
      <c r="CF10">
        <v>0</v>
      </c>
      <c r="CG10">
        <v>0</v>
      </c>
    </row>
    <row r="11" spans="1:85" x14ac:dyDescent="0.3">
      <c r="A11">
        <v>2828</v>
      </c>
      <c r="B11">
        <v>132253</v>
      </c>
      <c r="C11" s="22">
        <v>42888</v>
      </c>
      <c r="D11">
        <v>6117</v>
      </c>
      <c r="G11">
        <v>132253</v>
      </c>
      <c r="H11" t="s">
        <v>519</v>
      </c>
      <c r="K11" t="s">
        <v>520</v>
      </c>
      <c r="L11">
        <v>8506916478</v>
      </c>
      <c r="M11">
        <v>67</v>
      </c>
      <c r="N11">
        <v>1</v>
      </c>
      <c r="O11">
        <v>58</v>
      </c>
      <c r="P11">
        <v>2</v>
      </c>
      <c r="Q11">
        <v>269</v>
      </c>
      <c r="R11">
        <v>67</v>
      </c>
      <c r="S11">
        <v>0</v>
      </c>
      <c r="T11" t="s">
        <v>521</v>
      </c>
      <c r="U11">
        <v>0</v>
      </c>
      <c r="V11" t="s">
        <v>540</v>
      </c>
      <c r="W11">
        <v>397</v>
      </c>
      <c r="X11" t="s">
        <v>541</v>
      </c>
      <c r="Y11">
        <v>17367</v>
      </c>
      <c r="Z11">
        <v>1</v>
      </c>
      <c r="AA11">
        <v>1</v>
      </c>
      <c r="AE11">
        <v>186462</v>
      </c>
      <c r="AG11" s="22">
        <v>42888</v>
      </c>
      <c r="AH11" t="s">
        <v>595</v>
      </c>
      <c r="AJ11">
        <v>3406</v>
      </c>
      <c r="AK11">
        <v>132253</v>
      </c>
      <c r="AL11" t="s">
        <v>519</v>
      </c>
      <c r="AO11" t="s">
        <v>261</v>
      </c>
      <c r="AP11" t="s">
        <v>520</v>
      </c>
      <c r="AQ11">
        <v>8506916478</v>
      </c>
      <c r="AR11">
        <v>67</v>
      </c>
      <c r="AS11">
        <v>1</v>
      </c>
      <c r="AT11">
        <v>58</v>
      </c>
      <c r="AU11">
        <v>2</v>
      </c>
      <c r="AV11">
        <v>269</v>
      </c>
      <c r="AW11">
        <v>67</v>
      </c>
      <c r="AX11">
        <v>0</v>
      </c>
      <c r="AY11" t="s">
        <v>521</v>
      </c>
      <c r="AZ11">
        <v>0</v>
      </c>
      <c r="BA11" t="s">
        <v>540</v>
      </c>
      <c r="BB11">
        <v>397</v>
      </c>
      <c r="BC11" t="s">
        <v>541</v>
      </c>
      <c r="BD11">
        <v>17367</v>
      </c>
      <c r="BE11">
        <v>1</v>
      </c>
      <c r="BF11">
        <v>1</v>
      </c>
      <c r="BG11">
        <v>6117</v>
      </c>
      <c r="BJ11">
        <v>6117</v>
      </c>
      <c r="BK11">
        <v>13</v>
      </c>
      <c r="BL11">
        <v>9931</v>
      </c>
      <c r="BM11" s="46">
        <v>42888.46532920139</v>
      </c>
      <c r="BN11" t="s">
        <v>540</v>
      </c>
      <c r="BO11">
        <v>269</v>
      </c>
      <c r="BP11">
        <v>58</v>
      </c>
      <c r="BQ11">
        <v>132253</v>
      </c>
      <c r="BR11">
        <v>17367</v>
      </c>
      <c r="BS11">
        <v>67</v>
      </c>
      <c r="BT11">
        <v>67</v>
      </c>
      <c r="BU11" t="s">
        <v>602</v>
      </c>
      <c r="BV11" t="s">
        <v>603</v>
      </c>
      <c r="BW11">
        <v>8506916478</v>
      </c>
      <c r="BX11">
        <v>1</v>
      </c>
      <c r="BY11" t="s">
        <v>541</v>
      </c>
      <c r="BZ11">
        <v>2</v>
      </c>
      <c r="CA11">
        <v>0</v>
      </c>
      <c r="CB11">
        <v>397</v>
      </c>
      <c r="CC11" t="s">
        <v>521</v>
      </c>
      <c r="CD11" s="46">
        <v>42888.71532920139</v>
      </c>
      <c r="CE11">
        <v>1</v>
      </c>
      <c r="CF11">
        <v>0</v>
      </c>
      <c r="CG11">
        <v>0</v>
      </c>
    </row>
    <row r="12" spans="1:85" x14ac:dyDescent="0.3">
      <c r="A12">
        <v>2828</v>
      </c>
      <c r="B12">
        <v>132253</v>
      </c>
      <c r="C12" s="22">
        <v>42888</v>
      </c>
      <c r="D12">
        <v>6117</v>
      </c>
      <c r="G12">
        <v>132253</v>
      </c>
      <c r="H12" t="s">
        <v>519</v>
      </c>
      <c r="K12" t="s">
        <v>520</v>
      </c>
      <c r="L12">
        <v>5107474500</v>
      </c>
      <c r="M12">
        <v>295</v>
      </c>
      <c r="N12">
        <v>1</v>
      </c>
      <c r="O12">
        <v>116</v>
      </c>
      <c r="P12">
        <v>2</v>
      </c>
      <c r="Q12">
        <v>653</v>
      </c>
      <c r="R12">
        <v>295</v>
      </c>
      <c r="S12">
        <v>0</v>
      </c>
      <c r="T12" t="s">
        <v>521</v>
      </c>
      <c r="U12">
        <v>0</v>
      </c>
      <c r="V12" t="s">
        <v>542</v>
      </c>
      <c r="W12">
        <v>1067</v>
      </c>
      <c r="X12" t="s">
        <v>543</v>
      </c>
      <c r="Y12">
        <v>22586</v>
      </c>
      <c r="Z12">
        <v>1</v>
      </c>
      <c r="AA12">
        <v>1</v>
      </c>
      <c r="AE12">
        <v>186463</v>
      </c>
      <c r="AG12" s="22">
        <v>42888</v>
      </c>
      <c r="AH12" t="s">
        <v>595</v>
      </c>
      <c r="AJ12">
        <v>3406</v>
      </c>
      <c r="AK12">
        <v>132253</v>
      </c>
      <c r="AL12" t="s">
        <v>519</v>
      </c>
      <c r="AO12" t="s">
        <v>261</v>
      </c>
      <c r="AP12" t="s">
        <v>520</v>
      </c>
      <c r="AQ12">
        <v>5107474500</v>
      </c>
      <c r="AR12">
        <v>295</v>
      </c>
      <c r="AS12">
        <v>1</v>
      </c>
      <c r="AT12">
        <v>116</v>
      </c>
      <c r="AU12">
        <v>2</v>
      </c>
      <c r="AV12">
        <v>653</v>
      </c>
      <c r="AW12">
        <v>295</v>
      </c>
      <c r="AX12">
        <v>0</v>
      </c>
      <c r="AY12" t="s">
        <v>521</v>
      </c>
      <c r="AZ12">
        <v>0</v>
      </c>
      <c r="BA12" t="s">
        <v>542</v>
      </c>
      <c r="BB12">
        <v>1067</v>
      </c>
      <c r="BC12" t="s">
        <v>543</v>
      </c>
      <c r="BD12">
        <v>22586</v>
      </c>
      <c r="BE12">
        <v>1</v>
      </c>
      <c r="BF12">
        <v>1</v>
      </c>
      <c r="BG12">
        <v>6117</v>
      </c>
      <c r="BJ12">
        <v>6117</v>
      </c>
      <c r="BK12">
        <v>13</v>
      </c>
      <c r="BL12">
        <v>9931</v>
      </c>
      <c r="BM12" s="46">
        <v>42888.526770138888</v>
      </c>
      <c r="BN12" t="s">
        <v>542</v>
      </c>
      <c r="BO12">
        <v>653</v>
      </c>
      <c r="BP12">
        <v>116</v>
      </c>
      <c r="BQ12">
        <v>132253</v>
      </c>
      <c r="BR12">
        <v>22586</v>
      </c>
      <c r="BS12">
        <v>295</v>
      </c>
      <c r="BT12">
        <v>295</v>
      </c>
      <c r="BU12" t="s">
        <v>602</v>
      </c>
      <c r="BV12" t="s">
        <v>603</v>
      </c>
      <c r="BW12">
        <v>5107474500</v>
      </c>
      <c r="BX12">
        <v>1</v>
      </c>
      <c r="BY12" t="s">
        <v>543</v>
      </c>
      <c r="BZ12">
        <v>2</v>
      </c>
      <c r="CA12">
        <v>0</v>
      </c>
      <c r="CB12">
        <v>1067</v>
      </c>
      <c r="CC12" t="s">
        <v>521</v>
      </c>
      <c r="CD12" s="46">
        <v>42888.776770138888</v>
      </c>
      <c r="CE12">
        <v>1</v>
      </c>
      <c r="CF12">
        <v>0</v>
      </c>
      <c r="CG12">
        <v>0</v>
      </c>
    </row>
    <row r="13" spans="1:85" x14ac:dyDescent="0.3">
      <c r="A13">
        <v>2476</v>
      </c>
      <c r="B13">
        <v>128934</v>
      </c>
      <c r="C13" s="22">
        <v>42888</v>
      </c>
      <c r="D13">
        <v>6117</v>
      </c>
      <c r="G13">
        <v>128934</v>
      </c>
      <c r="H13" t="s">
        <v>519</v>
      </c>
      <c r="K13" t="s">
        <v>520</v>
      </c>
      <c r="L13">
        <v>9162254193</v>
      </c>
      <c r="M13">
        <v>66</v>
      </c>
      <c r="N13">
        <v>1</v>
      </c>
      <c r="O13">
        <v>0</v>
      </c>
      <c r="P13">
        <v>2</v>
      </c>
      <c r="Q13">
        <v>391</v>
      </c>
      <c r="R13">
        <v>66</v>
      </c>
      <c r="S13">
        <v>0</v>
      </c>
      <c r="T13" t="s">
        <v>521</v>
      </c>
      <c r="U13">
        <v>0</v>
      </c>
      <c r="V13" t="s">
        <v>544</v>
      </c>
      <c r="W13">
        <v>460</v>
      </c>
      <c r="X13" t="s">
        <v>545</v>
      </c>
      <c r="Y13">
        <v>26408</v>
      </c>
      <c r="Z13">
        <v>1</v>
      </c>
      <c r="AA13">
        <v>1</v>
      </c>
      <c r="AE13">
        <v>186454</v>
      </c>
      <c r="AG13" s="22">
        <v>42888</v>
      </c>
      <c r="AH13" t="s">
        <v>595</v>
      </c>
      <c r="AJ13">
        <v>1566</v>
      </c>
      <c r="AK13">
        <v>128934</v>
      </c>
      <c r="AL13" t="s">
        <v>519</v>
      </c>
      <c r="AO13" t="s">
        <v>261</v>
      </c>
      <c r="AP13" t="s">
        <v>520</v>
      </c>
      <c r="AQ13">
        <v>9162254193</v>
      </c>
      <c r="AR13">
        <v>66</v>
      </c>
      <c r="AS13">
        <v>1</v>
      </c>
      <c r="AT13">
        <v>0</v>
      </c>
      <c r="AU13">
        <v>2</v>
      </c>
      <c r="AV13">
        <v>391</v>
      </c>
      <c r="AW13">
        <v>66</v>
      </c>
      <c r="AX13">
        <v>0</v>
      </c>
      <c r="AY13" t="s">
        <v>521</v>
      </c>
      <c r="AZ13">
        <v>0</v>
      </c>
      <c r="BA13" t="s">
        <v>544</v>
      </c>
      <c r="BB13">
        <v>460</v>
      </c>
      <c r="BC13" t="s">
        <v>545</v>
      </c>
      <c r="BD13">
        <v>26408</v>
      </c>
      <c r="BE13">
        <v>1</v>
      </c>
      <c r="BF13">
        <v>1</v>
      </c>
      <c r="BG13">
        <v>6117</v>
      </c>
      <c r="BJ13">
        <v>6117</v>
      </c>
      <c r="BK13">
        <v>13</v>
      </c>
      <c r="BL13">
        <v>9711</v>
      </c>
      <c r="BM13" s="46">
        <v>42888.559640196756</v>
      </c>
      <c r="BN13" t="s">
        <v>544</v>
      </c>
      <c r="BO13">
        <v>391</v>
      </c>
      <c r="BP13">
        <v>0</v>
      </c>
      <c r="BQ13">
        <v>128934</v>
      </c>
      <c r="BR13">
        <v>26408</v>
      </c>
      <c r="BS13">
        <v>66</v>
      </c>
      <c r="BT13">
        <v>66</v>
      </c>
      <c r="BU13" t="s">
        <v>602</v>
      </c>
      <c r="BV13" t="s">
        <v>603</v>
      </c>
      <c r="BW13">
        <v>9162254193</v>
      </c>
      <c r="BX13">
        <v>1</v>
      </c>
      <c r="BY13" t="s">
        <v>545</v>
      </c>
      <c r="BZ13">
        <v>2</v>
      </c>
      <c r="CA13">
        <v>0</v>
      </c>
      <c r="CB13">
        <v>460</v>
      </c>
      <c r="CC13" t="s">
        <v>521</v>
      </c>
      <c r="CD13" s="46">
        <v>42888.809640196756</v>
      </c>
      <c r="CE13">
        <v>1</v>
      </c>
      <c r="CF13">
        <v>0</v>
      </c>
      <c r="CG13">
        <v>0</v>
      </c>
    </row>
    <row r="14" spans="1:85" x14ac:dyDescent="0.3">
      <c r="A14">
        <v>2476</v>
      </c>
      <c r="B14">
        <v>128934</v>
      </c>
      <c r="C14" s="22">
        <v>42888</v>
      </c>
      <c r="D14">
        <v>6117</v>
      </c>
      <c r="G14">
        <v>128934</v>
      </c>
      <c r="H14" t="s">
        <v>519</v>
      </c>
      <c r="K14" t="s">
        <v>520</v>
      </c>
      <c r="L14">
        <v>8506916478</v>
      </c>
      <c r="M14">
        <v>34</v>
      </c>
      <c r="N14">
        <v>1</v>
      </c>
      <c r="O14">
        <v>0</v>
      </c>
      <c r="P14">
        <v>3</v>
      </c>
      <c r="Q14">
        <v>866</v>
      </c>
      <c r="R14">
        <v>34</v>
      </c>
      <c r="S14">
        <v>0</v>
      </c>
      <c r="T14" t="s">
        <v>521</v>
      </c>
      <c r="U14">
        <v>0</v>
      </c>
      <c r="V14" t="s">
        <v>546</v>
      </c>
      <c r="W14">
        <v>905</v>
      </c>
      <c r="X14" t="s">
        <v>547</v>
      </c>
      <c r="Y14">
        <v>18867</v>
      </c>
      <c r="Z14">
        <v>1</v>
      </c>
      <c r="AA14">
        <v>1</v>
      </c>
      <c r="AE14">
        <v>186453</v>
      </c>
      <c r="AG14" s="22">
        <v>42888</v>
      </c>
      <c r="AH14" t="s">
        <v>595</v>
      </c>
      <c r="AJ14">
        <v>1566</v>
      </c>
      <c r="AK14">
        <v>128934</v>
      </c>
      <c r="AL14" t="s">
        <v>519</v>
      </c>
      <c r="AO14" t="s">
        <v>261</v>
      </c>
      <c r="AP14" t="s">
        <v>520</v>
      </c>
      <c r="AQ14">
        <v>8506916478</v>
      </c>
      <c r="AR14">
        <v>34</v>
      </c>
      <c r="AS14">
        <v>1</v>
      </c>
      <c r="AT14">
        <v>0</v>
      </c>
      <c r="AU14">
        <v>3</v>
      </c>
      <c r="AV14">
        <v>866</v>
      </c>
      <c r="AW14">
        <v>34</v>
      </c>
      <c r="AX14">
        <v>0</v>
      </c>
      <c r="AY14" t="s">
        <v>521</v>
      </c>
      <c r="AZ14">
        <v>0</v>
      </c>
      <c r="BA14" t="s">
        <v>546</v>
      </c>
      <c r="BB14">
        <v>905</v>
      </c>
      <c r="BC14" t="s">
        <v>547</v>
      </c>
      <c r="BD14">
        <v>18867</v>
      </c>
      <c r="BE14">
        <v>1</v>
      </c>
      <c r="BF14">
        <v>1</v>
      </c>
      <c r="BG14">
        <v>6117</v>
      </c>
      <c r="BJ14">
        <v>6117</v>
      </c>
      <c r="BK14">
        <v>13</v>
      </c>
      <c r="BL14">
        <v>9711</v>
      </c>
      <c r="BM14" s="46">
        <v>42888.486006168983</v>
      </c>
      <c r="BN14" t="s">
        <v>546</v>
      </c>
      <c r="BO14">
        <v>866</v>
      </c>
      <c r="BP14">
        <v>0</v>
      </c>
      <c r="BQ14">
        <v>128934</v>
      </c>
      <c r="BR14">
        <v>18867</v>
      </c>
      <c r="BS14">
        <v>34</v>
      </c>
      <c r="BT14">
        <v>34</v>
      </c>
      <c r="BU14" t="s">
        <v>602</v>
      </c>
      <c r="BV14" t="s">
        <v>603</v>
      </c>
      <c r="BW14">
        <v>8506916478</v>
      </c>
      <c r="BX14">
        <v>1</v>
      </c>
      <c r="BY14" t="s">
        <v>547</v>
      </c>
      <c r="BZ14">
        <v>3</v>
      </c>
      <c r="CA14">
        <v>0</v>
      </c>
      <c r="CB14">
        <v>905</v>
      </c>
      <c r="CC14" t="s">
        <v>521</v>
      </c>
      <c r="CD14" s="46">
        <v>42888.736006168983</v>
      </c>
      <c r="CE14">
        <v>1</v>
      </c>
      <c r="CF14">
        <v>0</v>
      </c>
      <c r="CG14">
        <v>0</v>
      </c>
    </row>
    <row r="15" spans="1:85" x14ac:dyDescent="0.3">
      <c r="A15">
        <v>641</v>
      </c>
      <c r="B15">
        <v>110752</v>
      </c>
      <c r="C15" s="22">
        <v>42888</v>
      </c>
      <c r="D15">
        <v>6117</v>
      </c>
      <c r="G15">
        <v>110752</v>
      </c>
      <c r="H15" t="s">
        <v>519</v>
      </c>
      <c r="K15" t="s">
        <v>520</v>
      </c>
      <c r="L15">
        <v>4085407656</v>
      </c>
      <c r="M15">
        <v>55</v>
      </c>
      <c r="N15">
        <v>2</v>
      </c>
      <c r="O15">
        <v>0</v>
      </c>
      <c r="P15">
        <v>3</v>
      </c>
      <c r="Q15">
        <v>416</v>
      </c>
      <c r="R15">
        <v>55</v>
      </c>
      <c r="S15">
        <v>0</v>
      </c>
      <c r="T15" t="s">
        <v>521</v>
      </c>
      <c r="U15">
        <v>0</v>
      </c>
      <c r="V15" t="s">
        <v>548</v>
      </c>
      <c r="W15">
        <v>476</v>
      </c>
      <c r="X15" t="s">
        <v>549</v>
      </c>
      <c r="Y15">
        <v>19348</v>
      </c>
      <c r="Z15">
        <v>1</v>
      </c>
      <c r="AA15">
        <v>1</v>
      </c>
      <c r="AE15">
        <v>186450</v>
      </c>
      <c r="AG15" s="22">
        <v>42888</v>
      </c>
      <c r="AH15" t="s">
        <v>595</v>
      </c>
      <c r="AJ15">
        <v>2644</v>
      </c>
      <c r="AK15">
        <v>110752</v>
      </c>
      <c r="AL15" t="s">
        <v>519</v>
      </c>
      <c r="AO15" t="s">
        <v>261</v>
      </c>
      <c r="AP15" t="s">
        <v>520</v>
      </c>
      <c r="AQ15">
        <v>4085407656</v>
      </c>
      <c r="AR15">
        <v>55</v>
      </c>
      <c r="AS15">
        <v>2</v>
      </c>
      <c r="AT15">
        <v>0</v>
      </c>
      <c r="AU15">
        <v>3</v>
      </c>
      <c r="AV15">
        <v>416</v>
      </c>
      <c r="AW15">
        <v>55</v>
      </c>
      <c r="AX15">
        <v>0</v>
      </c>
      <c r="AY15" t="s">
        <v>521</v>
      </c>
      <c r="AZ15">
        <v>0</v>
      </c>
      <c r="BA15" t="s">
        <v>548</v>
      </c>
      <c r="BB15">
        <v>476</v>
      </c>
      <c r="BC15" t="s">
        <v>549</v>
      </c>
      <c r="BD15">
        <v>19348</v>
      </c>
      <c r="BE15">
        <v>1</v>
      </c>
      <c r="BF15">
        <v>1</v>
      </c>
      <c r="BG15">
        <v>6117</v>
      </c>
      <c r="BJ15">
        <v>6117</v>
      </c>
      <c r="BK15">
        <v>13</v>
      </c>
      <c r="BL15">
        <v>8810</v>
      </c>
      <c r="BM15" s="46">
        <v>42888.490670254629</v>
      </c>
      <c r="BN15" t="s">
        <v>548</v>
      </c>
      <c r="BO15">
        <v>416</v>
      </c>
      <c r="BP15">
        <v>0</v>
      </c>
      <c r="BQ15">
        <v>110752</v>
      </c>
      <c r="BR15">
        <v>19348</v>
      </c>
      <c r="BS15">
        <v>55</v>
      </c>
      <c r="BT15">
        <v>55</v>
      </c>
      <c r="BU15" t="s">
        <v>602</v>
      </c>
      <c r="BV15" t="s">
        <v>603</v>
      </c>
      <c r="BW15">
        <v>4085407656</v>
      </c>
      <c r="BX15">
        <v>2</v>
      </c>
      <c r="BY15" t="s">
        <v>549</v>
      </c>
      <c r="BZ15">
        <v>3</v>
      </c>
      <c r="CA15">
        <v>0</v>
      </c>
      <c r="CB15">
        <v>476</v>
      </c>
      <c r="CC15" t="s">
        <v>521</v>
      </c>
      <c r="CD15" s="46">
        <v>42888.740670254629</v>
      </c>
      <c r="CE15">
        <v>1</v>
      </c>
      <c r="CF15">
        <v>0</v>
      </c>
      <c r="CG15">
        <v>0</v>
      </c>
    </row>
    <row r="16" spans="1:85" x14ac:dyDescent="0.3">
      <c r="A16">
        <v>641</v>
      </c>
      <c r="B16">
        <v>110752</v>
      </c>
      <c r="C16" s="22">
        <v>42888</v>
      </c>
      <c r="D16">
        <v>6117</v>
      </c>
      <c r="G16">
        <v>110752</v>
      </c>
      <c r="H16" t="s">
        <v>519</v>
      </c>
      <c r="K16" t="s">
        <v>520</v>
      </c>
      <c r="L16">
        <v>9164148954</v>
      </c>
      <c r="M16">
        <v>7</v>
      </c>
      <c r="N16">
        <v>3</v>
      </c>
      <c r="O16">
        <v>0</v>
      </c>
      <c r="P16">
        <v>2</v>
      </c>
      <c r="Q16">
        <v>170</v>
      </c>
      <c r="R16">
        <v>7</v>
      </c>
      <c r="S16">
        <v>0</v>
      </c>
      <c r="T16" t="s">
        <v>521</v>
      </c>
      <c r="U16">
        <v>0</v>
      </c>
      <c r="V16" t="s">
        <v>550</v>
      </c>
      <c r="W16">
        <v>182</v>
      </c>
      <c r="X16" t="s">
        <v>551</v>
      </c>
      <c r="Y16">
        <v>34871</v>
      </c>
      <c r="Z16">
        <v>1</v>
      </c>
      <c r="AA16">
        <v>1</v>
      </c>
      <c r="AE16">
        <v>186452</v>
      </c>
      <c r="AG16" s="22">
        <v>42888</v>
      </c>
      <c r="AH16" t="s">
        <v>595</v>
      </c>
      <c r="AJ16">
        <v>2644</v>
      </c>
      <c r="AK16">
        <v>110752</v>
      </c>
      <c r="AL16" t="s">
        <v>519</v>
      </c>
      <c r="AO16" t="s">
        <v>261</v>
      </c>
      <c r="AP16" t="s">
        <v>520</v>
      </c>
      <c r="AQ16">
        <v>9164148954</v>
      </c>
      <c r="AR16">
        <v>7</v>
      </c>
      <c r="AS16">
        <v>3</v>
      </c>
      <c r="AT16">
        <v>0</v>
      </c>
      <c r="AU16">
        <v>2</v>
      </c>
      <c r="AV16">
        <v>170</v>
      </c>
      <c r="AW16">
        <v>7</v>
      </c>
      <c r="AX16">
        <v>0</v>
      </c>
      <c r="AY16" t="s">
        <v>521</v>
      </c>
      <c r="AZ16">
        <v>0</v>
      </c>
      <c r="BA16" t="s">
        <v>550</v>
      </c>
      <c r="BB16">
        <v>182</v>
      </c>
      <c r="BC16" t="s">
        <v>551</v>
      </c>
      <c r="BD16">
        <v>34871</v>
      </c>
      <c r="BE16">
        <v>1</v>
      </c>
      <c r="BF16">
        <v>1</v>
      </c>
      <c r="BG16">
        <v>6117</v>
      </c>
      <c r="BJ16">
        <v>6117</v>
      </c>
      <c r="BK16">
        <v>13</v>
      </c>
      <c r="BL16">
        <v>8810</v>
      </c>
      <c r="BM16" s="46">
        <v>42888.674536307873</v>
      </c>
      <c r="BN16" t="s">
        <v>550</v>
      </c>
      <c r="BO16">
        <v>170</v>
      </c>
      <c r="BP16">
        <v>0</v>
      </c>
      <c r="BQ16">
        <v>110752</v>
      </c>
      <c r="BR16">
        <v>34871</v>
      </c>
      <c r="BS16">
        <v>7</v>
      </c>
      <c r="BT16">
        <v>7</v>
      </c>
      <c r="BU16" t="s">
        <v>602</v>
      </c>
      <c r="BV16" t="s">
        <v>603</v>
      </c>
      <c r="BW16">
        <v>9164148954</v>
      </c>
      <c r="BX16">
        <v>3</v>
      </c>
      <c r="BY16" t="s">
        <v>551</v>
      </c>
      <c r="BZ16">
        <v>2</v>
      </c>
      <c r="CA16">
        <v>0</v>
      </c>
      <c r="CB16">
        <v>182</v>
      </c>
      <c r="CC16" t="s">
        <v>521</v>
      </c>
      <c r="CD16" s="46">
        <v>42888.924536307873</v>
      </c>
      <c r="CE16">
        <v>1</v>
      </c>
      <c r="CF16">
        <v>0</v>
      </c>
      <c r="CG16">
        <v>0</v>
      </c>
    </row>
    <row r="17" spans="1:85" x14ac:dyDescent="0.3">
      <c r="A17">
        <v>2476</v>
      </c>
      <c r="B17">
        <v>128934</v>
      </c>
      <c r="C17" s="22">
        <v>42888</v>
      </c>
      <c r="D17">
        <v>6117</v>
      </c>
      <c r="G17">
        <v>128934</v>
      </c>
      <c r="H17" t="s">
        <v>519</v>
      </c>
      <c r="K17" t="s">
        <v>520</v>
      </c>
      <c r="L17">
        <v>9093208030</v>
      </c>
      <c r="M17">
        <v>118</v>
      </c>
      <c r="N17">
        <v>2</v>
      </c>
      <c r="O17">
        <v>0</v>
      </c>
      <c r="P17">
        <v>2</v>
      </c>
      <c r="Q17">
        <v>348</v>
      </c>
      <c r="R17">
        <v>118</v>
      </c>
      <c r="S17">
        <v>0</v>
      </c>
      <c r="T17" t="s">
        <v>521</v>
      </c>
      <c r="U17">
        <v>0</v>
      </c>
      <c r="V17" t="s">
        <v>552</v>
      </c>
      <c r="W17">
        <v>470</v>
      </c>
      <c r="X17" t="s">
        <v>553</v>
      </c>
      <c r="Y17">
        <v>35030</v>
      </c>
      <c r="Z17">
        <v>1</v>
      </c>
      <c r="AA17">
        <v>1</v>
      </c>
      <c r="AE17">
        <v>186456</v>
      </c>
      <c r="AG17" s="22">
        <v>42888</v>
      </c>
      <c r="AH17" t="s">
        <v>595</v>
      </c>
      <c r="AJ17">
        <v>1566</v>
      </c>
      <c r="AK17">
        <v>128934</v>
      </c>
      <c r="AL17" t="s">
        <v>519</v>
      </c>
      <c r="AO17" t="s">
        <v>261</v>
      </c>
      <c r="AP17" t="s">
        <v>520</v>
      </c>
      <c r="AQ17">
        <v>9093208030</v>
      </c>
      <c r="AR17">
        <v>118</v>
      </c>
      <c r="AS17">
        <v>2</v>
      </c>
      <c r="AT17">
        <v>0</v>
      </c>
      <c r="AU17">
        <v>2</v>
      </c>
      <c r="AV17">
        <v>348</v>
      </c>
      <c r="AW17">
        <v>118</v>
      </c>
      <c r="AX17">
        <v>0</v>
      </c>
      <c r="AY17" t="s">
        <v>521</v>
      </c>
      <c r="AZ17">
        <v>0</v>
      </c>
      <c r="BA17" t="s">
        <v>552</v>
      </c>
      <c r="BB17">
        <v>470</v>
      </c>
      <c r="BC17" t="s">
        <v>553</v>
      </c>
      <c r="BD17">
        <v>35030</v>
      </c>
      <c r="BE17">
        <v>1</v>
      </c>
      <c r="BF17">
        <v>1</v>
      </c>
      <c r="BG17">
        <v>6117</v>
      </c>
      <c r="BJ17">
        <v>6117</v>
      </c>
      <c r="BK17">
        <v>13</v>
      </c>
      <c r="BL17">
        <v>9711</v>
      </c>
      <c r="BM17" s="46">
        <v>42888.68728510417</v>
      </c>
      <c r="BN17" t="s">
        <v>552</v>
      </c>
      <c r="BO17">
        <v>348</v>
      </c>
      <c r="BP17">
        <v>0</v>
      </c>
      <c r="BQ17">
        <v>128934</v>
      </c>
      <c r="BR17">
        <v>35030</v>
      </c>
      <c r="BS17">
        <v>118</v>
      </c>
      <c r="BT17">
        <v>118</v>
      </c>
      <c r="BU17" t="s">
        <v>602</v>
      </c>
      <c r="BV17" t="s">
        <v>603</v>
      </c>
      <c r="BW17">
        <v>9093208030</v>
      </c>
      <c r="BX17">
        <v>2</v>
      </c>
      <c r="BY17" t="s">
        <v>553</v>
      </c>
      <c r="BZ17">
        <v>2</v>
      </c>
      <c r="CA17">
        <v>0</v>
      </c>
      <c r="CB17">
        <v>470</v>
      </c>
      <c r="CC17" t="s">
        <v>521</v>
      </c>
      <c r="CD17" s="46">
        <v>42888.93728510417</v>
      </c>
      <c r="CE17">
        <v>1</v>
      </c>
      <c r="CF17">
        <v>0</v>
      </c>
      <c r="CG17">
        <v>0</v>
      </c>
    </row>
    <row r="18" spans="1:85" x14ac:dyDescent="0.3">
      <c r="A18">
        <v>2828</v>
      </c>
      <c r="B18">
        <v>132253</v>
      </c>
      <c r="C18" s="22">
        <v>42888</v>
      </c>
      <c r="D18">
        <v>6117</v>
      </c>
      <c r="G18">
        <v>132253</v>
      </c>
      <c r="H18" t="s">
        <v>554</v>
      </c>
      <c r="K18" t="s">
        <v>520</v>
      </c>
      <c r="L18">
        <v>9164904770</v>
      </c>
      <c r="M18">
        <v>0</v>
      </c>
      <c r="N18">
        <v>1</v>
      </c>
      <c r="O18">
        <v>0</v>
      </c>
      <c r="P18">
        <v>2</v>
      </c>
      <c r="Q18">
        <v>47</v>
      </c>
      <c r="R18">
        <v>0</v>
      </c>
      <c r="S18">
        <v>0</v>
      </c>
      <c r="T18" t="s">
        <v>521</v>
      </c>
      <c r="U18">
        <v>0</v>
      </c>
      <c r="V18" t="s">
        <v>555</v>
      </c>
      <c r="W18">
        <v>51</v>
      </c>
      <c r="X18" t="s">
        <v>556</v>
      </c>
      <c r="Y18">
        <v>12867</v>
      </c>
      <c r="Z18">
        <v>1</v>
      </c>
      <c r="AA18">
        <v>1</v>
      </c>
      <c r="AE18">
        <v>186468</v>
      </c>
      <c r="AG18" s="22">
        <v>42888</v>
      </c>
      <c r="AH18" t="s">
        <v>595</v>
      </c>
      <c r="AJ18">
        <v>3406</v>
      </c>
      <c r="AK18">
        <v>132253</v>
      </c>
      <c r="AL18" t="s">
        <v>554</v>
      </c>
      <c r="AO18" t="s">
        <v>261</v>
      </c>
      <c r="AP18" t="s">
        <v>520</v>
      </c>
      <c r="AQ18">
        <v>9164904770</v>
      </c>
      <c r="AR18">
        <v>0</v>
      </c>
      <c r="AS18">
        <v>1</v>
      </c>
      <c r="AT18">
        <v>0</v>
      </c>
      <c r="AU18">
        <v>2</v>
      </c>
      <c r="AV18">
        <v>47</v>
      </c>
      <c r="AW18">
        <v>0</v>
      </c>
      <c r="AX18">
        <v>0</v>
      </c>
      <c r="AY18" t="s">
        <v>521</v>
      </c>
      <c r="AZ18">
        <v>0</v>
      </c>
      <c r="BA18" t="s">
        <v>555</v>
      </c>
      <c r="BB18">
        <v>51</v>
      </c>
      <c r="BC18" t="s">
        <v>556</v>
      </c>
      <c r="BD18">
        <v>12867</v>
      </c>
      <c r="BE18">
        <v>1</v>
      </c>
      <c r="BF18">
        <v>1</v>
      </c>
      <c r="BG18">
        <v>6117</v>
      </c>
      <c r="BJ18">
        <v>6117</v>
      </c>
      <c r="BK18">
        <v>34</v>
      </c>
      <c r="BL18">
        <v>9931</v>
      </c>
      <c r="BM18" s="46">
        <v>42888.417099733793</v>
      </c>
      <c r="BN18" t="s">
        <v>555</v>
      </c>
      <c r="BO18">
        <v>47</v>
      </c>
      <c r="BP18">
        <v>0</v>
      </c>
      <c r="BQ18">
        <v>132253</v>
      </c>
      <c r="BR18">
        <v>12867</v>
      </c>
      <c r="BS18">
        <v>0</v>
      </c>
      <c r="BT18">
        <v>0</v>
      </c>
      <c r="BU18" t="s">
        <v>602</v>
      </c>
      <c r="BV18" t="s">
        <v>603</v>
      </c>
      <c r="BW18">
        <v>9164904770</v>
      </c>
      <c r="BX18">
        <v>1</v>
      </c>
      <c r="BY18" t="s">
        <v>556</v>
      </c>
      <c r="BZ18">
        <v>2</v>
      </c>
      <c r="CA18">
        <v>0</v>
      </c>
      <c r="CB18">
        <v>51</v>
      </c>
      <c r="CC18" t="s">
        <v>521</v>
      </c>
      <c r="CD18" s="46">
        <v>42888.667099733793</v>
      </c>
      <c r="CE18">
        <v>1</v>
      </c>
      <c r="CF18">
        <v>0</v>
      </c>
      <c r="CG18">
        <v>0</v>
      </c>
    </row>
    <row r="19" spans="1:85" x14ac:dyDescent="0.3">
      <c r="A19">
        <v>2815</v>
      </c>
      <c r="B19">
        <v>132237</v>
      </c>
      <c r="C19" s="22">
        <v>42888</v>
      </c>
      <c r="D19">
        <v>6117</v>
      </c>
      <c r="G19">
        <v>132237</v>
      </c>
      <c r="H19" t="s">
        <v>519</v>
      </c>
      <c r="K19" t="s">
        <v>520</v>
      </c>
      <c r="L19">
        <v>2017377323</v>
      </c>
      <c r="M19">
        <v>168</v>
      </c>
      <c r="N19">
        <v>2</v>
      </c>
      <c r="O19">
        <v>0</v>
      </c>
      <c r="P19">
        <v>2</v>
      </c>
      <c r="Q19">
        <v>762</v>
      </c>
      <c r="R19">
        <v>168</v>
      </c>
      <c r="S19">
        <v>0</v>
      </c>
      <c r="T19" t="s">
        <v>521</v>
      </c>
      <c r="U19">
        <v>0</v>
      </c>
      <c r="V19" t="s">
        <v>557</v>
      </c>
      <c r="W19">
        <v>934</v>
      </c>
      <c r="X19" t="s">
        <v>558</v>
      </c>
      <c r="Y19">
        <v>23063</v>
      </c>
      <c r="Z19">
        <v>1</v>
      </c>
      <c r="AA19">
        <v>1</v>
      </c>
      <c r="AE19">
        <v>186458</v>
      </c>
      <c r="AG19" s="22">
        <v>42888</v>
      </c>
      <c r="AH19" t="s">
        <v>595</v>
      </c>
      <c r="AJ19">
        <v>1652</v>
      </c>
      <c r="AK19">
        <v>132237</v>
      </c>
      <c r="AL19" t="s">
        <v>519</v>
      </c>
      <c r="AO19" t="s">
        <v>261</v>
      </c>
      <c r="AP19" t="s">
        <v>520</v>
      </c>
      <c r="AQ19">
        <v>2017377323</v>
      </c>
      <c r="AR19">
        <v>168</v>
      </c>
      <c r="AS19">
        <v>2</v>
      </c>
      <c r="AT19">
        <v>0</v>
      </c>
      <c r="AU19">
        <v>2</v>
      </c>
      <c r="AV19">
        <v>762</v>
      </c>
      <c r="AW19">
        <v>168</v>
      </c>
      <c r="AX19">
        <v>0</v>
      </c>
      <c r="AY19" t="s">
        <v>521</v>
      </c>
      <c r="AZ19">
        <v>0</v>
      </c>
      <c r="BA19" t="s">
        <v>557</v>
      </c>
      <c r="BB19">
        <v>934</v>
      </c>
      <c r="BC19" t="s">
        <v>558</v>
      </c>
      <c r="BD19">
        <v>23063</v>
      </c>
      <c r="BE19">
        <v>1</v>
      </c>
      <c r="BF19">
        <v>1</v>
      </c>
      <c r="BG19">
        <v>6117</v>
      </c>
      <c r="BJ19">
        <v>6117</v>
      </c>
      <c r="BK19">
        <v>13</v>
      </c>
      <c r="BL19">
        <v>9919</v>
      </c>
      <c r="BM19" s="46">
        <v>42888.530253506942</v>
      </c>
      <c r="BN19" t="s">
        <v>557</v>
      </c>
      <c r="BO19">
        <v>762</v>
      </c>
      <c r="BP19">
        <v>0</v>
      </c>
      <c r="BQ19">
        <v>132237</v>
      </c>
      <c r="BR19">
        <v>23063</v>
      </c>
      <c r="BS19">
        <v>168</v>
      </c>
      <c r="BT19">
        <v>168</v>
      </c>
      <c r="BU19" t="s">
        <v>602</v>
      </c>
      <c r="BV19" t="s">
        <v>603</v>
      </c>
      <c r="BW19">
        <v>2017377323</v>
      </c>
      <c r="BX19">
        <v>2</v>
      </c>
      <c r="BY19" t="s">
        <v>558</v>
      </c>
      <c r="BZ19">
        <v>2</v>
      </c>
      <c r="CA19">
        <v>0</v>
      </c>
      <c r="CB19">
        <v>934</v>
      </c>
      <c r="CC19" t="s">
        <v>521</v>
      </c>
      <c r="CD19" s="46">
        <v>42888.780253506942</v>
      </c>
      <c r="CE19">
        <v>1</v>
      </c>
      <c r="CF19">
        <v>0</v>
      </c>
      <c r="CG19">
        <v>0</v>
      </c>
    </row>
    <row r="20" spans="1:85" x14ac:dyDescent="0.3">
      <c r="A20">
        <v>2828</v>
      </c>
      <c r="B20">
        <v>132253</v>
      </c>
      <c r="C20" s="22">
        <v>42888</v>
      </c>
      <c r="D20">
        <v>6117</v>
      </c>
      <c r="G20">
        <v>132253</v>
      </c>
      <c r="H20" t="s">
        <v>519</v>
      </c>
      <c r="K20" t="s">
        <v>520</v>
      </c>
      <c r="L20">
        <v>4087700515</v>
      </c>
      <c r="M20">
        <v>0</v>
      </c>
      <c r="N20">
        <v>1</v>
      </c>
      <c r="O20">
        <v>0</v>
      </c>
      <c r="P20">
        <v>2</v>
      </c>
      <c r="Q20">
        <v>530</v>
      </c>
      <c r="R20">
        <v>0</v>
      </c>
      <c r="S20">
        <v>0</v>
      </c>
      <c r="T20" t="s">
        <v>521</v>
      </c>
      <c r="U20">
        <v>0</v>
      </c>
      <c r="V20" t="s">
        <v>559</v>
      </c>
      <c r="W20">
        <v>534</v>
      </c>
      <c r="X20" t="s">
        <v>560</v>
      </c>
      <c r="Y20">
        <v>32045</v>
      </c>
      <c r="Z20">
        <v>1</v>
      </c>
      <c r="AA20">
        <v>1</v>
      </c>
      <c r="AE20">
        <v>186464</v>
      </c>
      <c r="AG20" s="22">
        <v>42888</v>
      </c>
      <c r="AH20" t="s">
        <v>595</v>
      </c>
      <c r="AJ20">
        <v>3406</v>
      </c>
      <c r="AK20">
        <v>132253</v>
      </c>
      <c r="AL20" t="s">
        <v>519</v>
      </c>
      <c r="AO20" t="s">
        <v>261</v>
      </c>
      <c r="AP20" t="s">
        <v>520</v>
      </c>
      <c r="AQ20">
        <v>4087700515</v>
      </c>
      <c r="AR20">
        <v>0</v>
      </c>
      <c r="AS20">
        <v>1</v>
      </c>
      <c r="AT20">
        <v>0</v>
      </c>
      <c r="AU20">
        <v>2</v>
      </c>
      <c r="AV20">
        <v>530</v>
      </c>
      <c r="AW20">
        <v>0</v>
      </c>
      <c r="AX20">
        <v>0</v>
      </c>
      <c r="AY20" t="s">
        <v>521</v>
      </c>
      <c r="AZ20">
        <v>0</v>
      </c>
      <c r="BA20" t="s">
        <v>559</v>
      </c>
      <c r="BB20">
        <v>534</v>
      </c>
      <c r="BC20" t="s">
        <v>560</v>
      </c>
      <c r="BD20">
        <v>32045</v>
      </c>
      <c r="BE20">
        <v>1</v>
      </c>
      <c r="BF20">
        <v>1</v>
      </c>
      <c r="BG20">
        <v>6117</v>
      </c>
      <c r="BJ20">
        <v>6117</v>
      </c>
      <c r="BK20">
        <v>13</v>
      </c>
      <c r="BL20">
        <v>9931</v>
      </c>
      <c r="BM20" s="46">
        <v>42888.628257141201</v>
      </c>
      <c r="BN20" t="s">
        <v>559</v>
      </c>
      <c r="BO20">
        <v>530</v>
      </c>
      <c r="BP20">
        <v>0</v>
      </c>
      <c r="BQ20">
        <v>132253</v>
      </c>
      <c r="BR20">
        <v>32045</v>
      </c>
      <c r="BS20">
        <v>0</v>
      </c>
      <c r="BT20">
        <v>0</v>
      </c>
      <c r="BU20" t="s">
        <v>602</v>
      </c>
      <c r="BV20" t="s">
        <v>603</v>
      </c>
      <c r="BW20">
        <v>4087700515</v>
      </c>
      <c r="BX20">
        <v>1</v>
      </c>
      <c r="BY20" t="s">
        <v>560</v>
      </c>
      <c r="BZ20">
        <v>2</v>
      </c>
      <c r="CA20">
        <v>0</v>
      </c>
      <c r="CB20">
        <v>534</v>
      </c>
      <c r="CC20" t="s">
        <v>521</v>
      </c>
      <c r="CD20" s="46">
        <v>42888.878257141201</v>
      </c>
      <c r="CE20">
        <v>1</v>
      </c>
      <c r="CF20">
        <v>0</v>
      </c>
      <c r="CG20">
        <v>0</v>
      </c>
    </row>
    <row r="21" spans="1:85" x14ac:dyDescent="0.3">
      <c r="A21">
        <v>641</v>
      </c>
      <c r="B21">
        <v>110752</v>
      </c>
      <c r="C21" s="22">
        <v>42888</v>
      </c>
      <c r="D21">
        <v>6117</v>
      </c>
      <c r="G21">
        <v>110752</v>
      </c>
      <c r="H21" t="s">
        <v>519</v>
      </c>
      <c r="K21" t="s">
        <v>520</v>
      </c>
      <c r="L21">
        <v>6195697504</v>
      </c>
      <c r="M21">
        <v>0</v>
      </c>
      <c r="N21">
        <v>1</v>
      </c>
      <c r="O21">
        <v>0</v>
      </c>
      <c r="P21">
        <v>2</v>
      </c>
      <c r="Q21">
        <v>496</v>
      </c>
      <c r="R21">
        <v>0</v>
      </c>
      <c r="S21">
        <v>0</v>
      </c>
      <c r="T21" t="s">
        <v>521</v>
      </c>
      <c r="U21">
        <v>0</v>
      </c>
      <c r="V21" t="s">
        <v>561</v>
      </c>
      <c r="W21">
        <v>499</v>
      </c>
      <c r="X21" s="51" t="s">
        <v>562</v>
      </c>
      <c r="Y21">
        <v>10194</v>
      </c>
      <c r="Z21">
        <v>1</v>
      </c>
      <c r="AA21">
        <v>1</v>
      </c>
      <c r="AE21">
        <v>186449</v>
      </c>
      <c r="AG21" s="22">
        <v>42888</v>
      </c>
      <c r="AH21" t="s">
        <v>595</v>
      </c>
      <c r="AJ21">
        <v>2644</v>
      </c>
      <c r="AK21">
        <v>110752</v>
      </c>
      <c r="AL21" t="s">
        <v>519</v>
      </c>
      <c r="AO21" t="s">
        <v>261</v>
      </c>
      <c r="AP21" t="s">
        <v>520</v>
      </c>
      <c r="AQ21">
        <v>6195697504</v>
      </c>
      <c r="AR21">
        <v>0</v>
      </c>
      <c r="AS21">
        <v>1</v>
      </c>
      <c r="AT21">
        <v>0</v>
      </c>
      <c r="AU21">
        <v>2</v>
      </c>
      <c r="AV21">
        <v>496</v>
      </c>
      <c r="AW21">
        <v>0</v>
      </c>
      <c r="AX21">
        <v>0</v>
      </c>
      <c r="AY21" t="s">
        <v>521</v>
      </c>
      <c r="AZ21">
        <v>0</v>
      </c>
      <c r="BA21" t="s">
        <v>561</v>
      </c>
      <c r="BB21">
        <v>499</v>
      </c>
      <c r="BC21" s="51" t="s">
        <v>562</v>
      </c>
      <c r="BD21">
        <v>10194</v>
      </c>
      <c r="BE21">
        <v>1</v>
      </c>
      <c r="BF21">
        <v>1</v>
      </c>
      <c r="BG21">
        <v>6117</v>
      </c>
      <c r="BJ21">
        <v>6117</v>
      </c>
      <c r="BK21">
        <v>13</v>
      </c>
      <c r="BL21">
        <v>8810</v>
      </c>
      <c r="BM21" s="46">
        <v>42888.39379548611</v>
      </c>
      <c r="BN21" t="s">
        <v>561</v>
      </c>
      <c r="BO21">
        <v>496</v>
      </c>
      <c r="BP21">
        <v>0</v>
      </c>
      <c r="BQ21">
        <v>110752</v>
      </c>
      <c r="BR21">
        <v>10194</v>
      </c>
      <c r="BS21">
        <v>0</v>
      </c>
      <c r="BT21">
        <v>0</v>
      </c>
      <c r="BU21" t="s">
        <v>602</v>
      </c>
      <c r="BV21" t="s">
        <v>603</v>
      </c>
      <c r="BW21">
        <v>6195697504</v>
      </c>
      <c r="BX21">
        <v>1</v>
      </c>
      <c r="BY21" s="51" t="s">
        <v>562</v>
      </c>
      <c r="BZ21">
        <v>2</v>
      </c>
      <c r="CA21">
        <v>0</v>
      </c>
      <c r="CB21">
        <v>499</v>
      </c>
      <c r="CC21" t="s">
        <v>521</v>
      </c>
      <c r="CD21" s="46">
        <v>42888.64379548611</v>
      </c>
      <c r="CE21">
        <v>1</v>
      </c>
      <c r="CF21">
        <v>0</v>
      </c>
      <c r="CG21">
        <v>0</v>
      </c>
    </row>
    <row r="22" spans="1:85" x14ac:dyDescent="0.3">
      <c r="A22">
        <v>641</v>
      </c>
      <c r="B22">
        <v>110752</v>
      </c>
      <c r="C22" s="22">
        <v>42888</v>
      </c>
      <c r="D22">
        <v>6117</v>
      </c>
      <c r="G22">
        <v>110752</v>
      </c>
      <c r="H22" t="s">
        <v>519</v>
      </c>
      <c r="K22" t="s">
        <v>520</v>
      </c>
      <c r="L22">
        <v>9253545174</v>
      </c>
      <c r="M22">
        <v>272</v>
      </c>
      <c r="N22">
        <v>1</v>
      </c>
      <c r="O22">
        <v>0</v>
      </c>
      <c r="P22">
        <v>2</v>
      </c>
      <c r="Q22">
        <v>1464</v>
      </c>
      <c r="R22">
        <v>272</v>
      </c>
      <c r="S22">
        <v>0</v>
      </c>
      <c r="T22" t="s">
        <v>521</v>
      </c>
      <c r="U22">
        <v>0</v>
      </c>
      <c r="V22" t="s">
        <v>563</v>
      </c>
      <c r="W22">
        <v>1739</v>
      </c>
      <c r="X22" t="s">
        <v>564</v>
      </c>
      <c r="Y22">
        <v>25552</v>
      </c>
      <c r="Z22">
        <v>1</v>
      </c>
      <c r="AA22">
        <v>1</v>
      </c>
      <c r="AE22">
        <v>186451</v>
      </c>
      <c r="AG22" s="22">
        <v>42888</v>
      </c>
      <c r="AH22" t="s">
        <v>595</v>
      </c>
      <c r="AJ22">
        <v>2644</v>
      </c>
      <c r="AK22">
        <v>110752</v>
      </c>
      <c r="AL22" t="s">
        <v>519</v>
      </c>
      <c r="AO22" t="s">
        <v>261</v>
      </c>
      <c r="AP22" t="s">
        <v>520</v>
      </c>
      <c r="AQ22">
        <v>9253545174</v>
      </c>
      <c r="AR22">
        <v>272</v>
      </c>
      <c r="AS22">
        <v>1</v>
      </c>
      <c r="AT22">
        <v>0</v>
      </c>
      <c r="AU22">
        <v>2</v>
      </c>
      <c r="AV22">
        <v>1464</v>
      </c>
      <c r="AW22">
        <v>272</v>
      </c>
      <c r="AX22">
        <v>0</v>
      </c>
      <c r="AY22" t="s">
        <v>521</v>
      </c>
      <c r="AZ22">
        <v>0</v>
      </c>
      <c r="BA22" t="s">
        <v>563</v>
      </c>
      <c r="BB22">
        <v>1739</v>
      </c>
      <c r="BC22" t="s">
        <v>564</v>
      </c>
      <c r="BD22">
        <v>25552</v>
      </c>
      <c r="BE22">
        <v>1</v>
      </c>
      <c r="BF22">
        <v>1</v>
      </c>
      <c r="BG22">
        <v>6117</v>
      </c>
      <c r="BJ22">
        <v>6117</v>
      </c>
      <c r="BK22">
        <v>13</v>
      </c>
      <c r="BL22">
        <v>8810</v>
      </c>
      <c r="BM22" s="46">
        <v>42888.565120752311</v>
      </c>
      <c r="BN22" t="s">
        <v>563</v>
      </c>
      <c r="BO22">
        <v>1464</v>
      </c>
      <c r="BP22">
        <v>0</v>
      </c>
      <c r="BQ22">
        <v>110752</v>
      </c>
      <c r="BR22">
        <v>25552</v>
      </c>
      <c r="BS22">
        <v>272</v>
      </c>
      <c r="BT22">
        <v>272</v>
      </c>
      <c r="BU22" t="s">
        <v>602</v>
      </c>
      <c r="BV22" t="s">
        <v>603</v>
      </c>
      <c r="BW22">
        <v>9253545174</v>
      </c>
      <c r="BX22">
        <v>1</v>
      </c>
      <c r="BY22" t="s">
        <v>564</v>
      </c>
      <c r="BZ22">
        <v>2</v>
      </c>
      <c r="CA22">
        <v>0</v>
      </c>
      <c r="CB22">
        <v>1739</v>
      </c>
      <c r="CC22" t="s">
        <v>521</v>
      </c>
      <c r="CD22" s="46">
        <v>42888.815120752311</v>
      </c>
      <c r="CE22">
        <v>1</v>
      </c>
      <c r="CF22">
        <v>0</v>
      </c>
      <c r="CG22">
        <v>0</v>
      </c>
    </row>
    <row r="23" spans="1:85" x14ac:dyDescent="0.3">
      <c r="A23">
        <v>2828</v>
      </c>
      <c r="B23">
        <v>132253</v>
      </c>
      <c r="C23" s="22">
        <v>42888</v>
      </c>
      <c r="D23">
        <v>6117</v>
      </c>
      <c r="G23">
        <v>132253</v>
      </c>
      <c r="H23" t="s">
        <v>519</v>
      </c>
      <c r="K23" t="s">
        <v>520</v>
      </c>
      <c r="L23">
        <v>4242009917</v>
      </c>
      <c r="M23">
        <v>0</v>
      </c>
      <c r="N23">
        <v>1</v>
      </c>
      <c r="O23">
        <v>498</v>
      </c>
      <c r="P23">
        <v>2</v>
      </c>
      <c r="Q23">
        <v>524</v>
      </c>
      <c r="R23">
        <v>0</v>
      </c>
      <c r="S23">
        <v>0</v>
      </c>
      <c r="T23" t="s">
        <v>521</v>
      </c>
      <c r="U23">
        <v>0</v>
      </c>
      <c r="V23" t="s">
        <v>565</v>
      </c>
      <c r="W23">
        <v>1026</v>
      </c>
      <c r="X23" t="s">
        <v>566</v>
      </c>
      <c r="Y23">
        <v>36073</v>
      </c>
      <c r="Z23">
        <v>1</v>
      </c>
      <c r="AA23">
        <v>1</v>
      </c>
      <c r="AE23">
        <v>186466</v>
      </c>
      <c r="AG23" s="22">
        <v>42888</v>
      </c>
      <c r="AH23" t="s">
        <v>595</v>
      </c>
      <c r="AJ23">
        <v>3406</v>
      </c>
      <c r="AK23">
        <v>132253</v>
      </c>
      <c r="AL23" t="s">
        <v>519</v>
      </c>
      <c r="AO23" t="s">
        <v>261</v>
      </c>
      <c r="AP23" t="s">
        <v>520</v>
      </c>
      <c r="AQ23">
        <v>4242009917</v>
      </c>
      <c r="AR23">
        <v>0</v>
      </c>
      <c r="AS23">
        <v>1</v>
      </c>
      <c r="AT23">
        <v>498</v>
      </c>
      <c r="AU23">
        <v>2</v>
      </c>
      <c r="AV23">
        <v>524</v>
      </c>
      <c r="AW23">
        <v>0</v>
      </c>
      <c r="AX23">
        <v>0</v>
      </c>
      <c r="AY23" t="s">
        <v>521</v>
      </c>
      <c r="AZ23">
        <v>0</v>
      </c>
      <c r="BA23" t="s">
        <v>565</v>
      </c>
      <c r="BB23">
        <v>1026</v>
      </c>
      <c r="BC23" t="s">
        <v>566</v>
      </c>
      <c r="BD23">
        <v>36073</v>
      </c>
      <c r="BE23">
        <v>1</v>
      </c>
      <c r="BF23">
        <v>1</v>
      </c>
      <c r="BG23">
        <v>6117</v>
      </c>
      <c r="BJ23">
        <v>6117</v>
      </c>
      <c r="BK23">
        <v>13</v>
      </c>
      <c r="BL23">
        <v>9931</v>
      </c>
      <c r="BM23" s="46">
        <v>42888.719738460648</v>
      </c>
      <c r="BN23" t="s">
        <v>565</v>
      </c>
      <c r="BO23">
        <v>524</v>
      </c>
      <c r="BP23">
        <v>498</v>
      </c>
      <c r="BQ23">
        <v>132253</v>
      </c>
      <c r="BR23">
        <v>36073</v>
      </c>
      <c r="BS23">
        <v>0</v>
      </c>
      <c r="BT23">
        <v>0</v>
      </c>
      <c r="BU23" t="s">
        <v>602</v>
      </c>
      <c r="BV23" t="s">
        <v>603</v>
      </c>
      <c r="BW23">
        <v>4242009917</v>
      </c>
      <c r="BX23">
        <v>1</v>
      </c>
      <c r="BY23" t="s">
        <v>566</v>
      </c>
      <c r="BZ23">
        <v>2</v>
      </c>
      <c r="CA23">
        <v>0</v>
      </c>
      <c r="CB23">
        <v>1026</v>
      </c>
      <c r="CC23" t="s">
        <v>521</v>
      </c>
      <c r="CD23" s="46">
        <v>42888.969738460648</v>
      </c>
      <c r="CE23">
        <v>1</v>
      </c>
      <c r="CF23">
        <v>0</v>
      </c>
      <c r="CG23">
        <v>0</v>
      </c>
    </row>
    <row r="24" spans="1:85" x14ac:dyDescent="0.3">
      <c r="A24">
        <v>2815</v>
      </c>
      <c r="B24">
        <v>132237</v>
      </c>
      <c r="C24" s="22">
        <v>42888</v>
      </c>
      <c r="D24">
        <v>6117</v>
      </c>
      <c r="G24">
        <v>132237</v>
      </c>
      <c r="H24" t="s">
        <v>519</v>
      </c>
      <c r="K24" t="s">
        <v>520</v>
      </c>
      <c r="L24">
        <v>6196094574</v>
      </c>
      <c r="M24">
        <v>88</v>
      </c>
      <c r="N24">
        <v>2</v>
      </c>
      <c r="O24">
        <v>103</v>
      </c>
      <c r="P24">
        <v>2</v>
      </c>
      <c r="Q24">
        <v>519</v>
      </c>
      <c r="R24">
        <v>88</v>
      </c>
      <c r="S24">
        <v>0</v>
      </c>
      <c r="T24" t="s">
        <v>521</v>
      </c>
      <c r="U24">
        <v>0</v>
      </c>
      <c r="V24" t="s">
        <v>567</v>
      </c>
      <c r="W24">
        <v>714</v>
      </c>
      <c r="X24" t="s">
        <v>568</v>
      </c>
      <c r="Y24">
        <v>32191</v>
      </c>
      <c r="Z24">
        <v>1</v>
      </c>
      <c r="AA24">
        <v>1</v>
      </c>
      <c r="AE24">
        <v>186459</v>
      </c>
      <c r="AG24" s="22">
        <v>42888</v>
      </c>
      <c r="AH24" t="s">
        <v>595</v>
      </c>
      <c r="AJ24">
        <v>1652</v>
      </c>
      <c r="AK24">
        <v>132237</v>
      </c>
      <c r="AL24" t="s">
        <v>519</v>
      </c>
      <c r="AO24" t="s">
        <v>261</v>
      </c>
      <c r="AP24" t="s">
        <v>520</v>
      </c>
      <c r="AQ24">
        <v>6196094574</v>
      </c>
      <c r="AR24">
        <v>88</v>
      </c>
      <c r="AS24">
        <v>2</v>
      </c>
      <c r="AT24">
        <v>103</v>
      </c>
      <c r="AU24">
        <v>2</v>
      </c>
      <c r="AV24">
        <v>519</v>
      </c>
      <c r="AW24">
        <v>88</v>
      </c>
      <c r="AX24">
        <v>0</v>
      </c>
      <c r="AY24" t="s">
        <v>521</v>
      </c>
      <c r="AZ24">
        <v>0</v>
      </c>
      <c r="BA24" t="s">
        <v>567</v>
      </c>
      <c r="BB24">
        <v>714</v>
      </c>
      <c r="BC24" t="s">
        <v>568</v>
      </c>
      <c r="BD24">
        <v>32191</v>
      </c>
      <c r="BE24">
        <v>1</v>
      </c>
      <c r="BF24">
        <v>1</v>
      </c>
      <c r="BG24">
        <v>6117</v>
      </c>
      <c r="BJ24">
        <v>6117</v>
      </c>
      <c r="BK24">
        <v>13</v>
      </c>
      <c r="BL24">
        <v>9919</v>
      </c>
      <c r="BM24" s="46">
        <v>42888.631926273149</v>
      </c>
      <c r="BN24" t="s">
        <v>567</v>
      </c>
      <c r="BO24">
        <v>519</v>
      </c>
      <c r="BP24">
        <v>103</v>
      </c>
      <c r="BQ24">
        <v>132237</v>
      </c>
      <c r="BR24">
        <v>32191</v>
      </c>
      <c r="BS24">
        <v>88</v>
      </c>
      <c r="BT24">
        <v>88</v>
      </c>
      <c r="BU24" t="s">
        <v>602</v>
      </c>
      <c r="BV24" t="s">
        <v>603</v>
      </c>
      <c r="BW24">
        <v>6196094574</v>
      </c>
      <c r="BX24">
        <v>2</v>
      </c>
      <c r="BY24" t="s">
        <v>568</v>
      </c>
      <c r="BZ24">
        <v>2</v>
      </c>
      <c r="CA24">
        <v>0</v>
      </c>
      <c r="CB24">
        <v>714</v>
      </c>
      <c r="CC24" t="s">
        <v>521</v>
      </c>
      <c r="CD24" s="46">
        <v>42888.881926273149</v>
      </c>
      <c r="CE24">
        <v>1</v>
      </c>
      <c r="CF24">
        <v>0</v>
      </c>
      <c r="CG24">
        <v>0</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1"/>
  <sheetViews>
    <sheetView topLeftCell="G6" workbookViewId="0">
      <selection activeCell="O1" sqref="O1:O1048576"/>
    </sheetView>
  </sheetViews>
  <sheetFormatPr defaultRowHeight="14.4" x14ac:dyDescent="0.3"/>
  <cols>
    <col min="1" max="1" width="20.109375" bestFit="1" customWidth="1"/>
    <col min="2" max="2" width="9.88671875" bestFit="1" customWidth="1"/>
    <col min="3" max="3" width="18.6640625" bestFit="1" customWidth="1"/>
    <col min="4" max="4" width="23.5546875" bestFit="1" customWidth="1"/>
    <col min="5" max="5" width="23" bestFit="1" customWidth="1"/>
    <col min="6" max="6" width="21.88671875" bestFit="1" customWidth="1"/>
    <col min="7" max="7" width="12.109375" bestFit="1" customWidth="1"/>
    <col min="10" max="10" width="11.5546875" style="46" bestFit="1" customWidth="1"/>
    <col min="11" max="11" width="23" bestFit="1" customWidth="1"/>
    <col min="12" max="12" width="39.109375" bestFit="1" customWidth="1"/>
    <col min="15" max="15" width="9.109375" bestFit="1" customWidth="1"/>
    <col min="16" max="16" width="11.21875" bestFit="1" customWidth="1"/>
    <col min="17" max="17" width="12.33203125" bestFit="1" customWidth="1"/>
    <col min="18" max="18" width="20" bestFit="1" customWidth="1"/>
    <col min="19" max="19" width="12.44140625" bestFit="1" customWidth="1"/>
  </cols>
  <sheetData>
    <row r="1" spans="1:19" x14ac:dyDescent="0.3">
      <c r="A1" t="s">
        <v>627</v>
      </c>
      <c r="B1" t="s">
        <v>571</v>
      </c>
      <c r="C1" t="s">
        <v>628</v>
      </c>
      <c r="D1" t="s">
        <v>629</v>
      </c>
      <c r="E1" t="s">
        <v>630</v>
      </c>
      <c r="F1" t="s">
        <v>631</v>
      </c>
      <c r="G1" t="s">
        <v>632</v>
      </c>
      <c r="J1" s="46" t="s">
        <v>672</v>
      </c>
      <c r="K1" t="s">
        <v>673</v>
      </c>
      <c r="L1" t="s">
        <v>674</v>
      </c>
      <c r="M1" t="s">
        <v>675</v>
      </c>
      <c r="O1" t="s">
        <v>677</v>
      </c>
      <c r="P1" t="s">
        <v>678</v>
      </c>
      <c r="Q1" t="s">
        <v>679</v>
      </c>
      <c r="R1" t="s">
        <v>680</v>
      </c>
      <c r="S1" t="s">
        <v>681</v>
      </c>
    </row>
    <row r="2" spans="1:19" x14ac:dyDescent="0.3">
      <c r="A2">
        <v>27684</v>
      </c>
      <c r="B2" s="22">
        <v>42885</v>
      </c>
      <c r="C2">
        <v>1</v>
      </c>
      <c r="D2" t="s">
        <v>624</v>
      </c>
      <c r="E2" t="s">
        <v>625</v>
      </c>
      <c r="F2" t="s">
        <v>634</v>
      </c>
      <c r="G2">
        <v>94</v>
      </c>
      <c r="J2" s="46">
        <v>42885</v>
      </c>
      <c r="K2" t="s">
        <v>625</v>
      </c>
      <c r="L2" t="s">
        <v>634</v>
      </c>
      <c r="M2">
        <v>94</v>
      </c>
      <c r="O2">
        <v>881</v>
      </c>
      <c r="P2">
        <v>1</v>
      </c>
      <c r="Q2">
        <v>1</v>
      </c>
      <c r="R2" t="s">
        <v>624</v>
      </c>
      <c r="S2">
        <v>4287</v>
      </c>
    </row>
    <row r="3" spans="1:19" x14ac:dyDescent="0.3">
      <c r="A3">
        <v>27686</v>
      </c>
      <c r="B3" s="22">
        <v>42885</v>
      </c>
      <c r="C3">
        <v>1</v>
      </c>
      <c r="D3" t="s">
        <v>624</v>
      </c>
      <c r="E3" t="s">
        <v>625</v>
      </c>
      <c r="F3" t="s">
        <v>635</v>
      </c>
      <c r="G3">
        <v>42</v>
      </c>
      <c r="J3" s="46">
        <v>42885</v>
      </c>
      <c r="K3" t="s">
        <v>625</v>
      </c>
      <c r="L3" t="s">
        <v>635</v>
      </c>
      <c r="M3">
        <v>42</v>
      </c>
    </row>
    <row r="4" spans="1:19" x14ac:dyDescent="0.3">
      <c r="A4">
        <v>27687</v>
      </c>
      <c r="B4" s="22">
        <v>42885</v>
      </c>
      <c r="C4">
        <v>1</v>
      </c>
      <c r="D4" t="s">
        <v>624</v>
      </c>
      <c r="E4" t="s">
        <v>625</v>
      </c>
      <c r="F4" t="s">
        <v>636</v>
      </c>
      <c r="G4">
        <v>123</v>
      </c>
      <c r="J4" s="46">
        <v>42885</v>
      </c>
      <c r="K4" t="s">
        <v>625</v>
      </c>
      <c r="L4" t="s">
        <v>636</v>
      </c>
      <c r="M4">
        <v>123</v>
      </c>
    </row>
    <row r="5" spans="1:19" x14ac:dyDescent="0.3">
      <c r="A5">
        <v>27688</v>
      </c>
      <c r="B5" s="22">
        <v>42885</v>
      </c>
      <c r="C5">
        <v>1</v>
      </c>
      <c r="D5" t="s">
        <v>624</v>
      </c>
      <c r="E5" t="s">
        <v>625</v>
      </c>
      <c r="F5" t="s">
        <v>637</v>
      </c>
      <c r="G5">
        <v>7</v>
      </c>
      <c r="J5" s="46">
        <v>42885</v>
      </c>
      <c r="K5" t="s">
        <v>625</v>
      </c>
      <c r="L5" t="s">
        <v>637</v>
      </c>
      <c r="M5">
        <v>7</v>
      </c>
    </row>
    <row r="6" spans="1:19" x14ac:dyDescent="0.3">
      <c r="A6">
        <v>27689</v>
      </c>
      <c r="B6" s="22">
        <v>42885</v>
      </c>
      <c r="C6">
        <v>1</v>
      </c>
      <c r="D6" t="s">
        <v>624</v>
      </c>
      <c r="E6" t="s">
        <v>625</v>
      </c>
      <c r="F6" t="s">
        <v>638</v>
      </c>
      <c r="G6">
        <v>340</v>
      </c>
      <c r="J6" s="46">
        <v>42885</v>
      </c>
      <c r="K6" t="s">
        <v>625</v>
      </c>
      <c r="L6" t="s">
        <v>638</v>
      </c>
      <c r="M6">
        <v>340</v>
      </c>
    </row>
    <row r="7" spans="1:19" x14ac:dyDescent="0.3">
      <c r="A7">
        <v>27690</v>
      </c>
      <c r="B7" s="22">
        <v>42885</v>
      </c>
      <c r="C7">
        <v>1</v>
      </c>
      <c r="D7" t="s">
        <v>624</v>
      </c>
      <c r="E7" t="s">
        <v>625</v>
      </c>
      <c r="F7" t="s">
        <v>639</v>
      </c>
      <c r="G7">
        <v>329</v>
      </c>
      <c r="J7" s="46">
        <v>42885</v>
      </c>
      <c r="K7" t="s">
        <v>625</v>
      </c>
      <c r="L7" t="s">
        <v>639</v>
      </c>
      <c r="M7">
        <v>329</v>
      </c>
    </row>
    <row r="8" spans="1:19" x14ac:dyDescent="0.3">
      <c r="A8">
        <v>27692</v>
      </c>
      <c r="B8" s="22">
        <v>42885</v>
      </c>
      <c r="C8">
        <v>1</v>
      </c>
      <c r="D8" t="s">
        <v>624</v>
      </c>
      <c r="E8" t="s">
        <v>625</v>
      </c>
      <c r="F8" t="s">
        <v>640</v>
      </c>
      <c r="G8">
        <v>36</v>
      </c>
      <c r="J8" s="46">
        <v>42885</v>
      </c>
      <c r="K8" t="s">
        <v>625</v>
      </c>
      <c r="L8" t="s">
        <v>640</v>
      </c>
      <c r="M8">
        <v>36</v>
      </c>
    </row>
    <row r="9" spans="1:19" x14ac:dyDescent="0.3">
      <c r="A9">
        <v>27693</v>
      </c>
      <c r="B9" s="22">
        <v>42885</v>
      </c>
      <c r="C9">
        <v>1</v>
      </c>
      <c r="D9" t="s">
        <v>624</v>
      </c>
      <c r="E9" t="s">
        <v>625</v>
      </c>
      <c r="F9" t="s">
        <v>641</v>
      </c>
      <c r="G9">
        <v>104</v>
      </c>
      <c r="J9" s="46">
        <v>42885</v>
      </c>
      <c r="K9" t="s">
        <v>625</v>
      </c>
      <c r="L9" t="s">
        <v>641</v>
      </c>
      <c r="M9">
        <v>104</v>
      </c>
    </row>
    <row r="10" spans="1:19" x14ac:dyDescent="0.3">
      <c r="A10">
        <v>27696</v>
      </c>
      <c r="B10" s="22">
        <v>42885</v>
      </c>
      <c r="C10">
        <v>1</v>
      </c>
      <c r="D10" t="s">
        <v>624</v>
      </c>
      <c r="E10" t="s">
        <v>625</v>
      </c>
      <c r="F10" t="s">
        <v>642</v>
      </c>
      <c r="G10">
        <v>38</v>
      </c>
      <c r="J10" s="46">
        <v>42885</v>
      </c>
      <c r="K10" t="s">
        <v>625</v>
      </c>
      <c r="L10" t="s">
        <v>642</v>
      </c>
      <c r="M10">
        <v>38</v>
      </c>
    </row>
    <row r="11" spans="1:19" x14ac:dyDescent="0.3">
      <c r="A11">
        <v>27697</v>
      </c>
      <c r="B11" s="22">
        <v>42885</v>
      </c>
      <c r="C11">
        <v>1</v>
      </c>
      <c r="D11" t="s">
        <v>624</v>
      </c>
      <c r="E11" t="s">
        <v>625</v>
      </c>
      <c r="F11" t="s">
        <v>643</v>
      </c>
      <c r="G11">
        <v>53</v>
      </c>
      <c r="J11" s="46">
        <v>42885</v>
      </c>
      <c r="K11" t="s">
        <v>625</v>
      </c>
      <c r="L11" t="s">
        <v>643</v>
      </c>
      <c r="M11">
        <v>53</v>
      </c>
    </row>
    <row r="12" spans="1:19" x14ac:dyDescent="0.3">
      <c r="A12">
        <v>27698</v>
      </c>
      <c r="B12" s="22">
        <v>42885</v>
      </c>
      <c r="C12">
        <v>1</v>
      </c>
      <c r="D12" t="s">
        <v>624</v>
      </c>
      <c r="E12" t="s">
        <v>625</v>
      </c>
      <c r="F12" t="s">
        <v>626</v>
      </c>
      <c r="G12">
        <v>1706</v>
      </c>
      <c r="J12" s="46">
        <v>42885</v>
      </c>
      <c r="K12" t="s">
        <v>625</v>
      </c>
      <c r="L12" t="s">
        <v>626</v>
      </c>
      <c r="M12">
        <v>1706</v>
      </c>
    </row>
    <row r="13" spans="1:19" x14ac:dyDescent="0.3">
      <c r="A13">
        <v>27702</v>
      </c>
      <c r="B13" s="22">
        <v>42885</v>
      </c>
      <c r="C13">
        <v>1</v>
      </c>
      <c r="D13" t="s">
        <v>624</v>
      </c>
      <c r="E13" t="s">
        <v>625</v>
      </c>
      <c r="F13" t="s">
        <v>644</v>
      </c>
      <c r="G13">
        <v>57</v>
      </c>
      <c r="J13" s="46">
        <v>42885</v>
      </c>
      <c r="K13" t="s">
        <v>625</v>
      </c>
      <c r="L13" t="s">
        <v>644</v>
      </c>
      <c r="M13">
        <v>57</v>
      </c>
    </row>
    <row r="14" spans="1:19" x14ac:dyDescent="0.3">
      <c r="A14">
        <v>27706</v>
      </c>
      <c r="B14" s="22">
        <v>42885</v>
      </c>
      <c r="C14">
        <v>1</v>
      </c>
      <c r="D14" t="s">
        <v>624</v>
      </c>
      <c r="E14" t="s">
        <v>625</v>
      </c>
      <c r="F14" t="s">
        <v>645</v>
      </c>
      <c r="G14">
        <v>21</v>
      </c>
      <c r="J14" s="46">
        <v>42885</v>
      </c>
      <c r="K14" t="s">
        <v>625</v>
      </c>
      <c r="L14" t="s">
        <v>645</v>
      </c>
      <c r="M14">
        <v>21</v>
      </c>
    </row>
    <row r="15" spans="1:19" x14ac:dyDescent="0.3">
      <c r="A15">
        <v>27707</v>
      </c>
      <c r="B15" s="22">
        <v>42885</v>
      </c>
      <c r="C15">
        <v>1</v>
      </c>
      <c r="D15" t="s">
        <v>624</v>
      </c>
      <c r="E15" t="s">
        <v>625</v>
      </c>
      <c r="F15" t="s">
        <v>646</v>
      </c>
      <c r="G15">
        <v>39</v>
      </c>
      <c r="J15" s="46">
        <v>42885</v>
      </c>
      <c r="K15" t="s">
        <v>625</v>
      </c>
      <c r="L15" t="s">
        <v>646</v>
      </c>
      <c r="M15">
        <v>39</v>
      </c>
    </row>
    <row r="16" spans="1:19" x14ac:dyDescent="0.3">
      <c r="A16">
        <v>27708</v>
      </c>
      <c r="B16" s="22">
        <v>42885</v>
      </c>
      <c r="C16">
        <v>1</v>
      </c>
      <c r="D16" t="s">
        <v>624</v>
      </c>
      <c r="E16" t="s">
        <v>625</v>
      </c>
      <c r="F16" t="s">
        <v>647</v>
      </c>
      <c r="G16">
        <v>437</v>
      </c>
      <c r="J16" s="46">
        <v>42885</v>
      </c>
      <c r="K16" t="s">
        <v>625</v>
      </c>
      <c r="L16" t="s">
        <v>647</v>
      </c>
      <c r="M16">
        <v>437</v>
      </c>
    </row>
    <row r="17" spans="1:13" x14ac:dyDescent="0.3">
      <c r="A17">
        <v>27713</v>
      </c>
      <c r="B17" s="22">
        <v>42885</v>
      </c>
      <c r="C17">
        <v>1</v>
      </c>
      <c r="D17" t="s">
        <v>624</v>
      </c>
      <c r="E17" t="s">
        <v>625</v>
      </c>
      <c r="F17" t="s">
        <v>648</v>
      </c>
      <c r="G17">
        <v>65</v>
      </c>
      <c r="J17" s="46">
        <v>42885</v>
      </c>
      <c r="K17" t="s">
        <v>625</v>
      </c>
      <c r="L17" t="s">
        <v>648</v>
      </c>
      <c r="M17">
        <v>65</v>
      </c>
    </row>
    <row r="18" spans="1:13" x14ac:dyDescent="0.3">
      <c r="A18">
        <v>27714</v>
      </c>
      <c r="B18" s="22">
        <v>42885</v>
      </c>
      <c r="C18">
        <v>1</v>
      </c>
      <c r="D18" t="s">
        <v>624</v>
      </c>
      <c r="E18" t="s">
        <v>625</v>
      </c>
      <c r="F18" t="s">
        <v>649</v>
      </c>
      <c r="G18">
        <v>1</v>
      </c>
      <c r="J18" s="46">
        <v>42885</v>
      </c>
      <c r="K18" t="s">
        <v>625</v>
      </c>
      <c r="L18" t="s">
        <v>649</v>
      </c>
      <c r="M18">
        <v>1</v>
      </c>
    </row>
    <row r="19" spans="1:13" x14ac:dyDescent="0.3">
      <c r="A19">
        <v>27715</v>
      </c>
      <c r="B19" s="22">
        <v>42885</v>
      </c>
      <c r="C19">
        <v>1</v>
      </c>
      <c r="D19" t="s">
        <v>624</v>
      </c>
      <c r="E19" t="s">
        <v>625</v>
      </c>
      <c r="F19" t="s">
        <v>650</v>
      </c>
      <c r="G19">
        <v>10</v>
      </c>
      <c r="J19" s="46">
        <v>42885</v>
      </c>
      <c r="K19" t="s">
        <v>625</v>
      </c>
      <c r="L19" t="s">
        <v>650</v>
      </c>
      <c r="M19">
        <v>10</v>
      </c>
    </row>
    <row r="20" spans="1:13" x14ac:dyDescent="0.3">
      <c r="A20">
        <v>27716</v>
      </c>
      <c r="B20" s="22">
        <v>42885</v>
      </c>
      <c r="C20">
        <v>1</v>
      </c>
      <c r="D20" t="s">
        <v>624</v>
      </c>
      <c r="E20" t="s">
        <v>625</v>
      </c>
      <c r="F20" t="s">
        <v>651</v>
      </c>
      <c r="G20">
        <v>222</v>
      </c>
      <c r="J20" s="46">
        <v>42885</v>
      </c>
      <c r="K20" t="s">
        <v>625</v>
      </c>
      <c r="L20" t="s">
        <v>651</v>
      </c>
      <c r="M20">
        <v>222</v>
      </c>
    </row>
    <row r="21" spans="1:13" x14ac:dyDescent="0.3">
      <c r="A21">
        <v>27718</v>
      </c>
      <c r="B21" s="22">
        <v>42885</v>
      </c>
      <c r="C21">
        <v>1</v>
      </c>
      <c r="D21" t="s">
        <v>624</v>
      </c>
      <c r="E21" t="s">
        <v>625</v>
      </c>
      <c r="F21" t="s">
        <v>652</v>
      </c>
      <c r="G21">
        <v>63</v>
      </c>
      <c r="J21" s="46">
        <v>42885</v>
      </c>
      <c r="K21" t="s">
        <v>625</v>
      </c>
      <c r="L21" t="s">
        <v>652</v>
      </c>
      <c r="M21">
        <v>63</v>
      </c>
    </row>
    <row r="22" spans="1:13" x14ac:dyDescent="0.3">
      <c r="A22">
        <v>27719</v>
      </c>
      <c r="B22" s="22">
        <v>42885</v>
      </c>
      <c r="C22">
        <v>1</v>
      </c>
      <c r="D22" t="s">
        <v>624</v>
      </c>
      <c r="E22" t="s">
        <v>625</v>
      </c>
      <c r="F22" t="s">
        <v>653</v>
      </c>
      <c r="G22">
        <v>14</v>
      </c>
      <c r="J22" s="46">
        <v>42885</v>
      </c>
      <c r="K22" t="s">
        <v>625</v>
      </c>
      <c r="L22" t="s">
        <v>653</v>
      </c>
      <c r="M22">
        <v>14</v>
      </c>
    </row>
    <row r="23" spans="1:13" x14ac:dyDescent="0.3">
      <c r="A23">
        <v>27721</v>
      </c>
      <c r="B23" s="22">
        <v>42885</v>
      </c>
      <c r="C23">
        <v>1</v>
      </c>
      <c r="D23" t="s">
        <v>624</v>
      </c>
      <c r="E23" t="s">
        <v>625</v>
      </c>
      <c r="F23" t="s">
        <v>654</v>
      </c>
      <c r="G23">
        <v>39</v>
      </c>
      <c r="J23" s="46">
        <v>42885</v>
      </c>
      <c r="K23" t="s">
        <v>625</v>
      </c>
      <c r="L23" t="s">
        <v>654</v>
      </c>
      <c r="M23">
        <v>39</v>
      </c>
    </row>
    <row r="24" spans="1:13" x14ac:dyDescent="0.3">
      <c r="A24">
        <v>27725</v>
      </c>
      <c r="B24" s="22">
        <v>42885</v>
      </c>
      <c r="C24">
        <v>1</v>
      </c>
      <c r="D24" t="s">
        <v>624</v>
      </c>
      <c r="E24" t="s">
        <v>625</v>
      </c>
      <c r="F24" t="s">
        <v>655</v>
      </c>
      <c r="G24">
        <v>93</v>
      </c>
      <c r="J24" s="46">
        <v>42885</v>
      </c>
      <c r="K24" t="s">
        <v>625</v>
      </c>
      <c r="L24" t="s">
        <v>655</v>
      </c>
      <c r="M24">
        <v>93</v>
      </c>
    </row>
    <row r="25" spans="1:13" x14ac:dyDescent="0.3">
      <c r="A25">
        <v>27730</v>
      </c>
      <c r="B25" s="22">
        <v>42885</v>
      </c>
      <c r="C25">
        <v>1</v>
      </c>
      <c r="D25" t="s">
        <v>624</v>
      </c>
      <c r="E25" t="s">
        <v>625</v>
      </c>
      <c r="F25" t="s">
        <v>656</v>
      </c>
      <c r="G25">
        <v>16</v>
      </c>
      <c r="J25" s="46">
        <v>42885</v>
      </c>
      <c r="K25" t="s">
        <v>625</v>
      </c>
      <c r="L25" t="s">
        <v>656</v>
      </c>
      <c r="M25">
        <v>16</v>
      </c>
    </row>
    <row r="26" spans="1:13" x14ac:dyDescent="0.3">
      <c r="A26">
        <v>27731</v>
      </c>
      <c r="B26" s="22">
        <v>42885</v>
      </c>
      <c r="C26">
        <v>1</v>
      </c>
      <c r="D26" t="s">
        <v>624</v>
      </c>
      <c r="E26" t="s">
        <v>625</v>
      </c>
      <c r="F26" t="s">
        <v>657</v>
      </c>
      <c r="G26">
        <v>18</v>
      </c>
      <c r="J26" s="46">
        <v>42885</v>
      </c>
      <c r="K26" t="s">
        <v>625</v>
      </c>
      <c r="L26" t="s">
        <v>657</v>
      </c>
      <c r="M26">
        <v>18</v>
      </c>
    </row>
    <row r="27" spans="1:13" x14ac:dyDescent="0.3">
      <c r="A27">
        <v>27732</v>
      </c>
      <c r="B27" s="22">
        <v>42885</v>
      </c>
      <c r="C27">
        <v>1</v>
      </c>
      <c r="D27" t="s">
        <v>624</v>
      </c>
      <c r="E27" t="s">
        <v>625</v>
      </c>
      <c r="F27" t="s">
        <v>658</v>
      </c>
      <c r="G27">
        <v>27</v>
      </c>
      <c r="J27" s="46">
        <v>42885</v>
      </c>
      <c r="K27" t="s">
        <v>625</v>
      </c>
      <c r="L27" t="s">
        <v>658</v>
      </c>
      <c r="M27">
        <v>27</v>
      </c>
    </row>
    <row r="28" spans="1:13" x14ac:dyDescent="0.3">
      <c r="A28">
        <v>27733</v>
      </c>
      <c r="B28" s="22">
        <v>42885</v>
      </c>
      <c r="C28">
        <v>1</v>
      </c>
      <c r="D28" t="s">
        <v>624</v>
      </c>
      <c r="E28" t="s">
        <v>625</v>
      </c>
      <c r="F28" t="s">
        <v>659</v>
      </c>
      <c r="G28">
        <v>30</v>
      </c>
      <c r="J28" s="46">
        <v>42885</v>
      </c>
      <c r="K28" t="s">
        <v>625</v>
      </c>
      <c r="L28" t="s">
        <v>659</v>
      </c>
      <c r="M28">
        <v>30</v>
      </c>
    </row>
    <row r="29" spans="1:13" x14ac:dyDescent="0.3">
      <c r="A29">
        <v>27734</v>
      </c>
      <c r="B29" s="22">
        <v>42885</v>
      </c>
      <c r="C29">
        <v>1</v>
      </c>
      <c r="D29" t="s">
        <v>624</v>
      </c>
      <c r="E29" t="s">
        <v>625</v>
      </c>
      <c r="F29" t="s">
        <v>660</v>
      </c>
      <c r="G29">
        <v>2</v>
      </c>
      <c r="J29" s="46">
        <v>42885</v>
      </c>
      <c r="K29" t="s">
        <v>625</v>
      </c>
      <c r="L29" t="s">
        <v>660</v>
      </c>
      <c r="M29">
        <v>2</v>
      </c>
    </row>
    <row r="30" spans="1:13" x14ac:dyDescent="0.3">
      <c r="A30">
        <v>27735</v>
      </c>
      <c r="B30" s="22">
        <v>42885</v>
      </c>
      <c r="C30">
        <v>1</v>
      </c>
      <c r="D30" t="s">
        <v>624</v>
      </c>
      <c r="E30" t="s">
        <v>625</v>
      </c>
      <c r="F30" t="s">
        <v>661</v>
      </c>
      <c r="G30">
        <v>17</v>
      </c>
      <c r="J30" s="46">
        <v>42885</v>
      </c>
      <c r="K30" t="s">
        <v>625</v>
      </c>
      <c r="L30" t="s">
        <v>661</v>
      </c>
      <c r="M30">
        <v>17</v>
      </c>
    </row>
    <row r="31" spans="1:13" x14ac:dyDescent="0.3">
      <c r="A31">
        <v>27736</v>
      </c>
      <c r="B31" s="22">
        <v>42885</v>
      </c>
      <c r="C31">
        <v>1</v>
      </c>
      <c r="D31" t="s">
        <v>624</v>
      </c>
      <c r="E31" t="s">
        <v>625</v>
      </c>
      <c r="F31" t="s">
        <v>662</v>
      </c>
      <c r="G31">
        <v>12</v>
      </c>
      <c r="J31" s="46">
        <v>42885</v>
      </c>
      <c r="K31" t="s">
        <v>625</v>
      </c>
      <c r="L31" t="s">
        <v>662</v>
      </c>
      <c r="M31">
        <v>12</v>
      </c>
    </row>
    <row r="32" spans="1:13" x14ac:dyDescent="0.3">
      <c r="A32">
        <v>27740</v>
      </c>
      <c r="B32" s="22">
        <v>42885</v>
      </c>
      <c r="C32">
        <v>1</v>
      </c>
      <c r="D32" t="s">
        <v>624</v>
      </c>
      <c r="E32" t="s">
        <v>625</v>
      </c>
      <c r="F32" t="s">
        <v>663</v>
      </c>
      <c r="G32">
        <v>20</v>
      </c>
      <c r="J32" s="46">
        <v>42885</v>
      </c>
      <c r="K32" t="s">
        <v>625</v>
      </c>
      <c r="L32" t="s">
        <v>663</v>
      </c>
      <c r="M32">
        <v>20</v>
      </c>
    </row>
    <row r="33" spans="1:13" x14ac:dyDescent="0.3">
      <c r="A33">
        <v>27741</v>
      </c>
      <c r="B33" s="22">
        <v>42885</v>
      </c>
      <c r="C33">
        <v>1</v>
      </c>
      <c r="D33" t="s">
        <v>624</v>
      </c>
      <c r="E33" t="s">
        <v>625</v>
      </c>
      <c r="F33" t="s">
        <v>664</v>
      </c>
      <c r="G33">
        <v>14</v>
      </c>
      <c r="J33" s="46">
        <v>42885</v>
      </c>
      <c r="K33" t="s">
        <v>625</v>
      </c>
      <c r="L33" t="s">
        <v>664</v>
      </c>
      <c r="M33">
        <v>14</v>
      </c>
    </row>
    <row r="34" spans="1:13" x14ac:dyDescent="0.3">
      <c r="A34">
        <v>27742</v>
      </c>
      <c r="B34" s="22">
        <v>42885</v>
      </c>
      <c r="C34">
        <v>1</v>
      </c>
      <c r="D34" t="s">
        <v>624</v>
      </c>
      <c r="E34" t="s">
        <v>625</v>
      </c>
      <c r="F34" t="s">
        <v>665</v>
      </c>
      <c r="G34">
        <v>17</v>
      </c>
      <c r="J34" s="46">
        <v>42885</v>
      </c>
      <c r="K34" t="s">
        <v>625</v>
      </c>
      <c r="L34" t="s">
        <v>665</v>
      </c>
      <c r="M34">
        <v>17</v>
      </c>
    </row>
    <row r="35" spans="1:13" x14ac:dyDescent="0.3">
      <c r="A35">
        <v>27743</v>
      </c>
      <c r="B35" s="22">
        <v>42885</v>
      </c>
      <c r="C35">
        <v>1</v>
      </c>
      <c r="D35" t="s">
        <v>624</v>
      </c>
      <c r="E35" t="s">
        <v>625</v>
      </c>
      <c r="F35" t="s">
        <v>666</v>
      </c>
      <c r="G35">
        <v>68</v>
      </c>
      <c r="J35" s="46">
        <v>42885</v>
      </c>
      <c r="K35" t="s">
        <v>625</v>
      </c>
      <c r="L35" t="s">
        <v>666</v>
      </c>
      <c r="M35">
        <v>68</v>
      </c>
    </row>
    <row r="36" spans="1:13" x14ac:dyDescent="0.3">
      <c r="A36">
        <v>27744</v>
      </c>
      <c r="B36" s="22">
        <v>42885</v>
      </c>
      <c r="C36">
        <v>1</v>
      </c>
      <c r="D36" t="s">
        <v>624</v>
      </c>
      <c r="E36" t="s">
        <v>625</v>
      </c>
      <c r="F36" t="s">
        <v>667</v>
      </c>
      <c r="G36">
        <v>16</v>
      </c>
      <c r="J36" s="46">
        <v>42885</v>
      </c>
      <c r="K36" t="s">
        <v>625</v>
      </c>
      <c r="L36" t="s">
        <v>667</v>
      </c>
      <c r="M36">
        <v>16</v>
      </c>
    </row>
    <row r="37" spans="1:13" x14ac:dyDescent="0.3">
      <c r="A37">
        <v>27745</v>
      </c>
      <c r="B37" s="22">
        <v>42885</v>
      </c>
      <c r="C37">
        <v>1</v>
      </c>
      <c r="D37" t="s">
        <v>624</v>
      </c>
      <c r="E37" t="s">
        <v>625</v>
      </c>
      <c r="F37" t="s">
        <v>668</v>
      </c>
      <c r="G37">
        <v>16</v>
      </c>
      <c r="J37" s="46">
        <v>42885</v>
      </c>
      <c r="K37" t="s">
        <v>625</v>
      </c>
      <c r="L37" t="s">
        <v>668</v>
      </c>
      <c r="M37">
        <v>16</v>
      </c>
    </row>
    <row r="38" spans="1:13" x14ac:dyDescent="0.3">
      <c r="A38">
        <v>27746</v>
      </c>
      <c r="B38" s="22">
        <v>42885</v>
      </c>
      <c r="C38">
        <v>1</v>
      </c>
      <c r="D38" t="s">
        <v>624</v>
      </c>
      <c r="E38" t="s">
        <v>625</v>
      </c>
      <c r="F38" t="s">
        <v>669</v>
      </c>
      <c r="G38">
        <v>24</v>
      </c>
      <c r="J38" s="46">
        <v>42885</v>
      </c>
      <c r="K38" t="s">
        <v>625</v>
      </c>
      <c r="L38" t="s">
        <v>669</v>
      </c>
      <c r="M38">
        <v>24</v>
      </c>
    </row>
    <row r="39" spans="1:13" x14ac:dyDescent="0.3">
      <c r="A39">
        <v>27751</v>
      </c>
      <c r="B39" s="22">
        <v>42885</v>
      </c>
      <c r="C39">
        <v>1</v>
      </c>
      <c r="D39" t="s">
        <v>624</v>
      </c>
      <c r="E39" t="s">
        <v>625</v>
      </c>
      <c r="F39" t="s">
        <v>670</v>
      </c>
      <c r="G39">
        <v>22</v>
      </c>
      <c r="J39" s="46">
        <v>42885</v>
      </c>
      <c r="K39" t="s">
        <v>625</v>
      </c>
      <c r="L39" t="s">
        <v>670</v>
      </c>
      <c r="M39">
        <v>22</v>
      </c>
    </row>
    <row r="40" spans="1:13" x14ac:dyDescent="0.3">
      <c r="A40">
        <v>27758</v>
      </c>
      <c r="B40" s="22">
        <v>42885</v>
      </c>
      <c r="C40">
        <v>1</v>
      </c>
      <c r="D40" t="s">
        <v>624</v>
      </c>
      <c r="E40" t="s">
        <v>625</v>
      </c>
      <c r="F40" t="s">
        <v>671</v>
      </c>
      <c r="G40">
        <v>35</v>
      </c>
      <c r="J40" s="46">
        <v>42885</v>
      </c>
      <c r="K40" t="s">
        <v>625</v>
      </c>
      <c r="L40" t="s">
        <v>671</v>
      </c>
      <c r="M40">
        <v>35</v>
      </c>
    </row>
    <row r="41" spans="1:13" x14ac:dyDescent="0.3">
      <c r="G41" s="52">
        <f>SUM(G2:G40)</f>
        <v>4287</v>
      </c>
      <c r="M41" s="52">
        <f>SUM(M2:M40)</f>
        <v>4287</v>
      </c>
    </row>
  </sheetData>
  <pageMargins left="0.7" right="0.7" top="0.75" bottom="0.75" header="0.3" footer="0.3"/>
  <pageSetup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7"/>
  <sheetViews>
    <sheetView workbookViewId="0">
      <selection activeCell="I15" sqref="I15"/>
    </sheetView>
  </sheetViews>
  <sheetFormatPr defaultRowHeight="14.4" x14ac:dyDescent="0.3"/>
  <cols>
    <col min="1" max="1" width="15.5546875" bestFit="1" customWidth="1"/>
    <col min="2" max="2" width="24.33203125" bestFit="1" customWidth="1"/>
    <col min="9" max="9" width="26.88671875" bestFit="1" customWidth="1"/>
    <col min="10" max="10" width="24.33203125" bestFit="1" customWidth="1"/>
  </cols>
  <sheetData>
    <row r="1" spans="1:10" x14ac:dyDescent="0.3">
      <c r="A1" t="s">
        <v>722</v>
      </c>
      <c r="B1" t="s">
        <v>2</v>
      </c>
      <c r="I1" t="s">
        <v>723</v>
      </c>
      <c r="J1" t="s">
        <v>724</v>
      </c>
    </row>
    <row r="2" spans="1:10" x14ac:dyDescent="0.3">
      <c r="A2">
        <v>5151</v>
      </c>
      <c r="B2" t="s">
        <v>725</v>
      </c>
      <c r="I2">
        <v>5151</v>
      </c>
      <c r="J2" t="s">
        <v>725</v>
      </c>
    </row>
    <row r="3" spans="1:10" x14ac:dyDescent="0.3">
      <c r="A3">
        <v>5152</v>
      </c>
      <c r="B3" t="s">
        <v>726</v>
      </c>
      <c r="I3">
        <v>5152</v>
      </c>
      <c r="J3" t="s">
        <v>726</v>
      </c>
    </row>
    <row r="4" spans="1:10" x14ac:dyDescent="0.3">
      <c r="A4">
        <v>5153</v>
      </c>
      <c r="B4" t="s">
        <v>727</v>
      </c>
      <c r="I4">
        <v>5153</v>
      </c>
      <c r="J4" t="s">
        <v>727</v>
      </c>
    </row>
    <row r="5" spans="1:10" x14ac:dyDescent="0.3">
      <c r="A5">
        <v>5154</v>
      </c>
      <c r="B5" t="s">
        <v>728</v>
      </c>
      <c r="I5">
        <v>5154</v>
      </c>
      <c r="J5" t="s">
        <v>728</v>
      </c>
    </row>
    <row r="6" spans="1:10" x14ac:dyDescent="0.3">
      <c r="A6">
        <v>5155</v>
      </c>
      <c r="B6" t="s">
        <v>729</v>
      </c>
      <c r="I6">
        <v>5155</v>
      </c>
      <c r="J6" t="s">
        <v>729</v>
      </c>
    </row>
    <row r="7" spans="1:10" x14ac:dyDescent="0.3">
      <c r="A7">
        <v>5156</v>
      </c>
      <c r="B7" t="s">
        <v>730</v>
      </c>
      <c r="I7">
        <v>5156</v>
      </c>
      <c r="J7" t="s">
        <v>730</v>
      </c>
    </row>
    <row r="8" spans="1:10" x14ac:dyDescent="0.3">
      <c r="A8">
        <v>5157</v>
      </c>
      <c r="B8" t="s">
        <v>731</v>
      </c>
      <c r="I8">
        <v>5157</v>
      </c>
      <c r="J8" t="s">
        <v>731</v>
      </c>
    </row>
    <row r="9" spans="1:10" x14ac:dyDescent="0.3">
      <c r="A9">
        <v>5158</v>
      </c>
      <c r="B9" t="s">
        <v>732</v>
      </c>
      <c r="I9">
        <v>5158</v>
      </c>
      <c r="J9" t="s">
        <v>732</v>
      </c>
    </row>
    <row r="10" spans="1:10" x14ac:dyDescent="0.3">
      <c r="A10">
        <v>5159</v>
      </c>
      <c r="B10" t="s">
        <v>733</v>
      </c>
      <c r="I10">
        <v>5159</v>
      </c>
      <c r="J10" t="s">
        <v>733</v>
      </c>
    </row>
    <row r="11" spans="1:10" x14ac:dyDescent="0.3">
      <c r="A11">
        <v>5160</v>
      </c>
      <c r="B11" t="s">
        <v>734</v>
      </c>
      <c r="I11">
        <v>5160</v>
      </c>
      <c r="J11" t="s">
        <v>734</v>
      </c>
    </row>
    <row r="12" spans="1:10" x14ac:dyDescent="0.3">
      <c r="A12">
        <v>5161</v>
      </c>
      <c r="B12" t="s">
        <v>735</v>
      </c>
      <c r="I12">
        <v>5161</v>
      </c>
      <c r="J12" t="s">
        <v>735</v>
      </c>
    </row>
    <row r="13" spans="1:10" x14ac:dyDescent="0.3">
      <c r="A13">
        <v>5162</v>
      </c>
      <c r="B13" t="s">
        <v>736</v>
      </c>
      <c r="I13">
        <v>5162</v>
      </c>
      <c r="J13" t="s">
        <v>736</v>
      </c>
    </row>
    <row r="14" spans="1:10" x14ac:dyDescent="0.3">
      <c r="A14">
        <v>5163</v>
      </c>
      <c r="B14" t="s">
        <v>737</v>
      </c>
      <c r="I14">
        <v>5163</v>
      </c>
      <c r="J14" t="s">
        <v>737</v>
      </c>
    </row>
    <row r="15" spans="1:10" x14ac:dyDescent="0.3">
      <c r="A15">
        <v>5164</v>
      </c>
      <c r="B15" t="s">
        <v>738</v>
      </c>
      <c r="I15">
        <v>5164</v>
      </c>
      <c r="J15" t="s">
        <v>738</v>
      </c>
    </row>
    <row r="16" spans="1:10" x14ac:dyDescent="0.3">
      <c r="A16">
        <v>5165</v>
      </c>
      <c r="B16" t="s">
        <v>739</v>
      </c>
      <c r="I16">
        <v>5165</v>
      </c>
      <c r="J16" t="s">
        <v>739</v>
      </c>
    </row>
    <row r="17" spans="1:10" x14ac:dyDescent="0.3">
      <c r="A17">
        <v>5166</v>
      </c>
      <c r="B17" t="s">
        <v>740</v>
      </c>
      <c r="I17">
        <v>5166</v>
      </c>
      <c r="J17" t="s">
        <v>740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7"/>
  <sheetViews>
    <sheetView topLeftCell="B1" workbookViewId="0">
      <selection activeCell="K1" sqref="K1:N1"/>
    </sheetView>
  </sheetViews>
  <sheetFormatPr defaultRowHeight="14.4" x14ac:dyDescent="0.3"/>
  <cols>
    <col min="1" max="1" width="11.88671875" bestFit="1" customWidth="1"/>
    <col min="2" max="2" width="15.5546875" bestFit="1" customWidth="1"/>
    <col min="3" max="3" width="13.88671875" bestFit="1" customWidth="1"/>
    <col min="4" max="4" width="14.5546875" bestFit="1" customWidth="1"/>
    <col min="5" max="6" width="26.5546875" bestFit="1" customWidth="1"/>
    <col min="9" max="9" width="11.88671875" bestFit="1" customWidth="1"/>
    <col min="10" max="10" width="15.5546875" bestFit="1" customWidth="1"/>
    <col min="12" max="12" width="17.6640625" bestFit="1" customWidth="1"/>
    <col min="13" max="13" width="13.88671875" bestFit="1" customWidth="1"/>
    <col min="14" max="14" width="14.5546875" bestFit="1" customWidth="1"/>
  </cols>
  <sheetData>
    <row r="1" spans="1:14" x14ac:dyDescent="0.3">
      <c r="A1" t="s">
        <v>749</v>
      </c>
      <c r="B1" t="s">
        <v>722</v>
      </c>
      <c r="C1" t="s">
        <v>750</v>
      </c>
      <c r="D1" t="s">
        <v>751</v>
      </c>
      <c r="E1" t="s">
        <v>752</v>
      </c>
      <c r="F1" t="s">
        <v>583</v>
      </c>
      <c r="I1" t="s">
        <v>749</v>
      </c>
      <c r="J1" t="s">
        <v>722</v>
      </c>
      <c r="K1" t="s">
        <v>750</v>
      </c>
      <c r="L1" t="s">
        <v>751</v>
      </c>
      <c r="M1" t="s">
        <v>752</v>
      </c>
      <c r="N1" t="s">
        <v>583</v>
      </c>
    </row>
    <row r="2" spans="1:14" x14ac:dyDescent="0.3">
      <c r="A2" s="47">
        <v>42887</v>
      </c>
      <c r="B2">
        <v>5151</v>
      </c>
      <c r="C2">
        <v>4990</v>
      </c>
      <c r="D2">
        <v>1705659</v>
      </c>
      <c r="E2">
        <v>42186</v>
      </c>
      <c r="F2">
        <v>9745</v>
      </c>
      <c r="I2" s="22">
        <v>42887</v>
      </c>
      <c r="J2">
        <v>5151</v>
      </c>
      <c r="K2">
        <v>4990</v>
      </c>
      <c r="L2">
        <v>1705659</v>
      </c>
      <c r="M2">
        <v>42186</v>
      </c>
      <c r="N2">
        <v>9745</v>
      </c>
    </row>
    <row r="3" spans="1:14" x14ac:dyDescent="0.3">
      <c r="A3" s="47">
        <v>42887</v>
      </c>
      <c r="B3">
        <v>5152</v>
      </c>
      <c r="C3">
        <v>858</v>
      </c>
      <c r="D3">
        <v>338436</v>
      </c>
      <c r="E3">
        <v>7781</v>
      </c>
      <c r="F3">
        <v>1671</v>
      </c>
      <c r="I3" s="22">
        <v>42887</v>
      </c>
      <c r="J3">
        <v>5152</v>
      </c>
      <c r="K3">
        <v>858</v>
      </c>
      <c r="L3">
        <v>338436</v>
      </c>
      <c r="M3">
        <v>7781</v>
      </c>
      <c r="N3">
        <v>1671</v>
      </c>
    </row>
    <row r="4" spans="1:14" x14ac:dyDescent="0.3">
      <c r="A4" s="47">
        <v>42887</v>
      </c>
      <c r="B4">
        <v>5153</v>
      </c>
      <c r="C4">
        <v>40</v>
      </c>
      <c r="D4">
        <v>17528</v>
      </c>
      <c r="E4">
        <v>201</v>
      </c>
      <c r="F4">
        <v>80</v>
      </c>
      <c r="I4" s="22">
        <v>42887</v>
      </c>
      <c r="J4">
        <v>5153</v>
      </c>
      <c r="K4">
        <v>40</v>
      </c>
      <c r="L4">
        <v>17528</v>
      </c>
      <c r="M4">
        <v>201</v>
      </c>
      <c r="N4">
        <v>80</v>
      </c>
    </row>
    <row r="5" spans="1:14" x14ac:dyDescent="0.3">
      <c r="A5" s="47">
        <v>42887</v>
      </c>
      <c r="B5">
        <v>5154</v>
      </c>
      <c r="C5">
        <v>25</v>
      </c>
      <c r="D5">
        <v>13720</v>
      </c>
      <c r="E5">
        <v>0</v>
      </c>
      <c r="F5">
        <v>48</v>
      </c>
      <c r="I5" s="22">
        <v>42887</v>
      </c>
      <c r="J5">
        <v>5154</v>
      </c>
      <c r="K5">
        <v>25</v>
      </c>
      <c r="L5">
        <v>13720</v>
      </c>
      <c r="M5">
        <v>0</v>
      </c>
      <c r="N5">
        <v>48</v>
      </c>
    </row>
    <row r="6" spans="1:14" x14ac:dyDescent="0.3">
      <c r="A6" s="47">
        <v>42887</v>
      </c>
      <c r="B6">
        <v>5155</v>
      </c>
      <c r="C6">
        <v>10</v>
      </c>
      <c r="D6">
        <v>6844</v>
      </c>
      <c r="E6">
        <v>148</v>
      </c>
      <c r="F6">
        <v>20</v>
      </c>
      <c r="I6" s="22">
        <v>42887</v>
      </c>
      <c r="J6">
        <v>5155</v>
      </c>
      <c r="K6">
        <v>10</v>
      </c>
      <c r="L6">
        <v>6844</v>
      </c>
      <c r="M6">
        <v>148</v>
      </c>
      <c r="N6">
        <v>20</v>
      </c>
    </row>
    <row r="7" spans="1:14" x14ac:dyDescent="0.3">
      <c r="A7" s="47">
        <v>42887</v>
      </c>
      <c r="B7">
        <v>5156</v>
      </c>
      <c r="C7">
        <v>3</v>
      </c>
      <c r="D7">
        <v>346</v>
      </c>
      <c r="E7">
        <v>0</v>
      </c>
      <c r="F7">
        <v>6</v>
      </c>
      <c r="I7" s="22">
        <v>42887</v>
      </c>
      <c r="J7">
        <v>5156</v>
      </c>
      <c r="K7">
        <v>3</v>
      </c>
      <c r="L7">
        <v>346</v>
      </c>
      <c r="M7">
        <v>0</v>
      </c>
      <c r="N7">
        <v>6</v>
      </c>
    </row>
    <row r="8" spans="1:14" x14ac:dyDescent="0.3">
      <c r="A8" s="47">
        <v>42887</v>
      </c>
      <c r="B8">
        <v>5157</v>
      </c>
      <c r="C8">
        <v>17</v>
      </c>
      <c r="D8">
        <v>7456</v>
      </c>
      <c r="E8">
        <v>175</v>
      </c>
      <c r="F8">
        <v>33</v>
      </c>
      <c r="I8" s="22">
        <v>42887</v>
      </c>
      <c r="J8">
        <v>5157</v>
      </c>
      <c r="K8">
        <v>17</v>
      </c>
      <c r="L8">
        <v>7456</v>
      </c>
      <c r="M8">
        <v>175</v>
      </c>
      <c r="N8">
        <v>33</v>
      </c>
    </row>
    <row r="9" spans="1:14" x14ac:dyDescent="0.3">
      <c r="A9" s="47">
        <v>42887</v>
      </c>
      <c r="B9">
        <v>5158</v>
      </c>
      <c r="C9">
        <v>79</v>
      </c>
      <c r="D9">
        <v>30518</v>
      </c>
      <c r="E9">
        <v>8</v>
      </c>
      <c r="F9">
        <v>154</v>
      </c>
      <c r="I9" s="22">
        <v>42887</v>
      </c>
      <c r="J9">
        <v>5158</v>
      </c>
      <c r="K9">
        <v>79</v>
      </c>
      <c r="L9">
        <v>30518</v>
      </c>
      <c r="M9">
        <v>8</v>
      </c>
      <c r="N9">
        <v>154</v>
      </c>
    </row>
    <row r="10" spans="1:14" x14ac:dyDescent="0.3">
      <c r="A10" s="47">
        <v>42887</v>
      </c>
      <c r="B10">
        <v>5159</v>
      </c>
      <c r="C10">
        <v>23</v>
      </c>
      <c r="D10">
        <v>10313</v>
      </c>
      <c r="E10">
        <v>162</v>
      </c>
      <c r="F10">
        <v>45</v>
      </c>
      <c r="I10" s="22">
        <v>42887</v>
      </c>
      <c r="J10">
        <v>5159</v>
      </c>
      <c r="K10">
        <v>23</v>
      </c>
      <c r="L10">
        <v>10313</v>
      </c>
      <c r="M10">
        <v>162</v>
      </c>
      <c r="N10">
        <v>45</v>
      </c>
    </row>
    <row r="11" spans="1:14" x14ac:dyDescent="0.3">
      <c r="A11" s="47">
        <v>42887</v>
      </c>
      <c r="B11">
        <v>5160</v>
      </c>
      <c r="C11">
        <v>38</v>
      </c>
      <c r="D11">
        <v>14501</v>
      </c>
      <c r="E11">
        <v>0</v>
      </c>
      <c r="F11">
        <v>75</v>
      </c>
      <c r="I11" s="22">
        <v>42887</v>
      </c>
      <c r="J11">
        <v>5160</v>
      </c>
      <c r="K11">
        <v>38</v>
      </c>
      <c r="L11">
        <v>14501</v>
      </c>
      <c r="M11">
        <v>0</v>
      </c>
      <c r="N11">
        <v>75</v>
      </c>
    </row>
    <row r="12" spans="1:14" x14ac:dyDescent="0.3">
      <c r="A12" s="47">
        <v>42887</v>
      </c>
      <c r="B12">
        <v>5161</v>
      </c>
      <c r="C12">
        <v>47</v>
      </c>
      <c r="D12">
        <v>16357</v>
      </c>
      <c r="E12">
        <v>0</v>
      </c>
      <c r="F12">
        <v>92</v>
      </c>
      <c r="I12" s="22">
        <v>42887</v>
      </c>
      <c r="J12">
        <v>5161</v>
      </c>
      <c r="K12">
        <v>47</v>
      </c>
      <c r="L12">
        <v>16357</v>
      </c>
      <c r="M12">
        <v>0</v>
      </c>
      <c r="N12">
        <v>92</v>
      </c>
    </row>
    <row r="13" spans="1:14" x14ac:dyDescent="0.3">
      <c r="A13" s="47">
        <v>42887</v>
      </c>
      <c r="B13">
        <v>5162</v>
      </c>
      <c r="C13">
        <v>62</v>
      </c>
      <c r="D13">
        <v>20424</v>
      </c>
      <c r="E13">
        <v>348</v>
      </c>
      <c r="F13">
        <v>122</v>
      </c>
      <c r="I13" s="22">
        <v>42887</v>
      </c>
      <c r="J13">
        <v>5162</v>
      </c>
      <c r="K13">
        <v>62</v>
      </c>
      <c r="L13">
        <v>20424</v>
      </c>
      <c r="M13">
        <v>348</v>
      </c>
      <c r="N13">
        <v>122</v>
      </c>
    </row>
    <row r="14" spans="1:14" x14ac:dyDescent="0.3">
      <c r="A14" s="47">
        <v>42887</v>
      </c>
      <c r="B14">
        <v>5163</v>
      </c>
      <c r="C14">
        <v>1</v>
      </c>
      <c r="D14">
        <v>41</v>
      </c>
      <c r="E14">
        <v>0</v>
      </c>
      <c r="F14">
        <v>2</v>
      </c>
      <c r="I14" s="22">
        <v>42887</v>
      </c>
      <c r="J14">
        <v>5163</v>
      </c>
      <c r="K14">
        <v>1</v>
      </c>
      <c r="L14">
        <v>41</v>
      </c>
      <c r="M14">
        <v>0</v>
      </c>
      <c r="N14">
        <v>2</v>
      </c>
    </row>
    <row r="15" spans="1:14" x14ac:dyDescent="0.3">
      <c r="A15" s="47">
        <v>42887</v>
      </c>
      <c r="B15">
        <v>5164</v>
      </c>
      <c r="C15">
        <v>23</v>
      </c>
      <c r="D15">
        <v>3819</v>
      </c>
      <c r="E15">
        <v>3</v>
      </c>
      <c r="F15">
        <v>44</v>
      </c>
      <c r="I15" s="22">
        <v>42887</v>
      </c>
      <c r="J15">
        <v>5164</v>
      </c>
      <c r="K15">
        <v>23</v>
      </c>
      <c r="L15">
        <v>3819</v>
      </c>
      <c r="M15">
        <v>3</v>
      </c>
      <c r="N15">
        <v>44</v>
      </c>
    </row>
    <row r="16" spans="1:14" x14ac:dyDescent="0.3">
      <c r="A16" s="47">
        <v>42887</v>
      </c>
      <c r="B16">
        <v>5165</v>
      </c>
      <c r="C16">
        <v>9</v>
      </c>
      <c r="D16">
        <v>1532</v>
      </c>
      <c r="E16">
        <v>0</v>
      </c>
      <c r="F16">
        <v>18</v>
      </c>
      <c r="I16" s="22">
        <v>42887</v>
      </c>
      <c r="J16">
        <v>5165</v>
      </c>
      <c r="K16">
        <v>9</v>
      </c>
      <c r="L16">
        <v>1532</v>
      </c>
      <c r="M16">
        <v>0</v>
      </c>
      <c r="N16">
        <v>18</v>
      </c>
    </row>
    <row r="17" spans="1:14" x14ac:dyDescent="0.3">
      <c r="A17" s="47">
        <v>42887</v>
      </c>
      <c r="B17">
        <v>5166</v>
      </c>
      <c r="C17">
        <v>0</v>
      </c>
      <c r="D17">
        <v>0</v>
      </c>
      <c r="E17">
        <v>0</v>
      </c>
      <c r="F17">
        <v>0</v>
      </c>
      <c r="I17" s="22">
        <v>42887</v>
      </c>
      <c r="J17">
        <v>5166</v>
      </c>
      <c r="K17">
        <v>0</v>
      </c>
      <c r="L17">
        <v>0</v>
      </c>
      <c r="M17">
        <v>0</v>
      </c>
      <c r="N17">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53"/>
  <sheetViews>
    <sheetView tabSelected="1" workbookViewId="0">
      <selection activeCell="A24" sqref="A24:E24"/>
    </sheetView>
  </sheetViews>
  <sheetFormatPr defaultRowHeight="14.4" x14ac:dyDescent="0.3"/>
  <cols>
    <col min="3" max="3" width="11.44140625" bestFit="1" customWidth="1"/>
    <col min="4" max="4" width="12.44140625" bestFit="1" customWidth="1"/>
    <col min="5" max="5" width="17.21875" bestFit="1" customWidth="1"/>
    <col min="12" max="12" width="11.44140625" bestFit="1" customWidth="1"/>
    <col min="14" max="14" width="17.21875" bestFit="1" customWidth="1"/>
  </cols>
  <sheetData>
    <row r="1" spans="1:14" x14ac:dyDescent="0.3">
      <c r="A1" t="s">
        <v>5</v>
      </c>
      <c r="B1" t="s">
        <v>759</v>
      </c>
      <c r="C1" t="s">
        <v>760</v>
      </c>
      <c r="D1" t="s">
        <v>761</v>
      </c>
      <c r="E1" t="s">
        <v>762</v>
      </c>
      <c r="J1" t="s">
        <v>5</v>
      </c>
      <c r="K1" t="s">
        <v>759</v>
      </c>
      <c r="L1" t="s">
        <v>760</v>
      </c>
      <c r="M1" t="s">
        <v>761</v>
      </c>
      <c r="N1" t="s">
        <v>762</v>
      </c>
    </row>
    <row r="2" spans="1:14" x14ac:dyDescent="0.3">
      <c r="A2" s="47">
        <v>42887</v>
      </c>
      <c r="B2">
        <v>73364</v>
      </c>
      <c r="C2">
        <v>28556</v>
      </c>
      <c r="D2">
        <v>3596</v>
      </c>
      <c r="E2">
        <v>8202</v>
      </c>
      <c r="J2" s="22">
        <v>42887</v>
      </c>
      <c r="K2">
        <v>73364</v>
      </c>
      <c r="L2">
        <v>28556</v>
      </c>
      <c r="M2">
        <v>3596</v>
      </c>
      <c r="N2">
        <v>8202</v>
      </c>
    </row>
    <row r="3" spans="1:14" x14ac:dyDescent="0.3">
      <c r="A3" s="47">
        <v>42887</v>
      </c>
      <c r="B3">
        <v>125332</v>
      </c>
      <c r="C3">
        <v>28027</v>
      </c>
      <c r="D3">
        <v>1784</v>
      </c>
      <c r="E3">
        <v>13544</v>
      </c>
      <c r="J3" s="22">
        <v>42887</v>
      </c>
      <c r="K3">
        <v>125332</v>
      </c>
      <c r="L3">
        <v>28027</v>
      </c>
      <c r="M3">
        <v>1784</v>
      </c>
      <c r="N3">
        <v>13544</v>
      </c>
    </row>
    <row r="4" spans="1:14" x14ac:dyDescent="0.3">
      <c r="A4" s="47">
        <v>42887</v>
      </c>
      <c r="B4">
        <v>135774</v>
      </c>
      <c r="C4">
        <v>33226</v>
      </c>
      <c r="D4">
        <v>478</v>
      </c>
      <c r="E4">
        <v>6823</v>
      </c>
      <c r="J4" s="22">
        <v>42887</v>
      </c>
      <c r="K4">
        <v>135774</v>
      </c>
      <c r="L4">
        <v>33226</v>
      </c>
      <c r="M4">
        <v>478</v>
      </c>
      <c r="N4">
        <v>6823</v>
      </c>
    </row>
    <row r="5" spans="1:14" x14ac:dyDescent="0.3">
      <c r="A5" s="47">
        <v>42887</v>
      </c>
      <c r="B5">
        <v>135775</v>
      </c>
      <c r="C5">
        <v>32770</v>
      </c>
      <c r="D5">
        <v>3977</v>
      </c>
      <c r="E5">
        <v>6500</v>
      </c>
      <c r="J5" s="22">
        <v>42887</v>
      </c>
      <c r="K5">
        <v>135775</v>
      </c>
      <c r="L5">
        <v>32770</v>
      </c>
      <c r="M5">
        <v>3977</v>
      </c>
      <c r="N5">
        <v>6500</v>
      </c>
    </row>
    <row r="6" spans="1:14" x14ac:dyDescent="0.3">
      <c r="A6" s="47">
        <v>42887</v>
      </c>
      <c r="B6">
        <v>135776</v>
      </c>
      <c r="C6">
        <v>32804</v>
      </c>
      <c r="D6">
        <v>7069</v>
      </c>
      <c r="E6">
        <v>5667</v>
      </c>
      <c r="J6" s="22">
        <v>42887</v>
      </c>
      <c r="K6">
        <v>135776</v>
      </c>
      <c r="L6">
        <v>32804</v>
      </c>
      <c r="M6">
        <v>7069</v>
      </c>
      <c r="N6">
        <v>5667</v>
      </c>
    </row>
    <row r="7" spans="1:14" x14ac:dyDescent="0.3">
      <c r="A7" s="47">
        <v>42887</v>
      </c>
      <c r="B7">
        <v>135777</v>
      </c>
      <c r="C7">
        <v>33255</v>
      </c>
      <c r="D7">
        <v>399</v>
      </c>
      <c r="E7">
        <v>7867</v>
      </c>
      <c r="J7" s="22">
        <v>42887</v>
      </c>
      <c r="K7">
        <v>135777</v>
      </c>
      <c r="L7">
        <v>33255</v>
      </c>
      <c r="M7">
        <v>399</v>
      </c>
      <c r="N7">
        <v>7867</v>
      </c>
    </row>
    <row r="8" spans="1:14" x14ac:dyDescent="0.3">
      <c r="A8" s="47">
        <v>42887</v>
      </c>
      <c r="B8">
        <v>135780</v>
      </c>
      <c r="C8">
        <v>32769</v>
      </c>
      <c r="D8">
        <v>4942</v>
      </c>
      <c r="E8">
        <v>5794</v>
      </c>
      <c r="J8" s="22">
        <v>42887</v>
      </c>
      <c r="K8">
        <v>135780</v>
      </c>
      <c r="L8">
        <v>32769</v>
      </c>
      <c r="M8">
        <v>4942</v>
      </c>
      <c r="N8">
        <v>5794</v>
      </c>
    </row>
    <row r="9" spans="1:14" x14ac:dyDescent="0.3">
      <c r="A9" s="47">
        <v>42887</v>
      </c>
      <c r="B9">
        <v>136323</v>
      </c>
      <c r="C9">
        <v>29032</v>
      </c>
      <c r="D9">
        <v>721</v>
      </c>
      <c r="E9">
        <v>9613</v>
      </c>
      <c r="J9" s="22">
        <v>42887</v>
      </c>
      <c r="K9">
        <v>136323</v>
      </c>
      <c r="L9">
        <v>29032</v>
      </c>
      <c r="M9">
        <v>721</v>
      </c>
      <c r="N9">
        <v>9613</v>
      </c>
    </row>
    <row r="10" spans="1:14" x14ac:dyDescent="0.3">
      <c r="A10" s="47">
        <v>42887</v>
      </c>
      <c r="B10">
        <v>136336</v>
      </c>
      <c r="C10">
        <v>21</v>
      </c>
      <c r="D10">
        <v>0</v>
      </c>
      <c r="E10">
        <v>21</v>
      </c>
      <c r="J10" s="22">
        <v>42887</v>
      </c>
      <c r="K10">
        <v>136336</v>
      </c>
      <c r="L10">
        <v>21</v>
      </c>
      <c r="M10">
        <v>0</v>
      </c>
      <c r="N10">
        <v>21</v>
      </c>
    </row>
    <row r="11" spans="1:14" x14ac:dyDescent="0.3">
      <c r="A11" s="47">
        <v>42887</v>
      </c>
      <c r="B11">
        <v>136347</v>
      </c>
      <c r="C11">
        <v>22564</v>
      </c>
      <c r="D11">
        <v>429</v>
      </c>
      <c r="E11">
        <v>6568</v>
      </c>
      <c r="J11" s="22">
        <v>42887</v>
      </c>
      <c r="K11">
        <v>136347</v>
      </c>
      <c r="L11">
        <v>22564</v>
      </c>
      <c r="M11">
        <v>429</v>
      </c>
      <c r="N11">
        <v>6568</v>
      </c>
    </row>
    <row r="12" spans="1:14" x14ac:dyDescent="0.3">
      <c r="A12" s="47">
        <v>42887</v>
      </c>
      <c r="B12">
        <v>136348</v>
      </c>
      <c r="C12">
        <v>28815</v>
      </c>
      <c r="D12">
        <v>342</v>
      </c>
      <c r="E12">
        <v>13441</v>
      </c>
      <c r="J12" s="22">
        <v>42887</v>
      </c>
      <c r="K12">
        <v>136348</v>
      </c>
      <c r="L12">
        <v>28815</v>
      </c>
      <c r="M12">
        <v>342</v>
      </c>
      <c r="N12">
        <v>13441</v>
      </c>
    </row>
    <row r="13" spans="1:14" x14ac:dyDescent="0.3">
      <c r="A13" s="47">
        <v>42887</v>
      </c>
      <c r="B13">
        <v>136349</v>
      </c>
      <c r="C13">
        <v>28610</v>
      </c>
      <c r="D13">
        <v>474</v>
      </c>
      <c r="E13">
        <v>9026</v>
      </c>
      <c r="J13" s="22">
        <v>42887</v>
      </c>
      <c r="K13">
        <v>136349</v>
      </c>
      <c r="L13">
        <v>28610</v>
      </c>
      <c r="M13">
        <v>474</v>
      </c>
      <c r="N13">
        <v>9026</v>
      </c>
    </row>
    <row r="14" spans="1:14" x14ac:dyDescent="0.3">
      <c r="A14" s="47">
        <v>42887</v>
      </c>
      <c r="B14">
        <v>136352</v>
      </c>
      <c r="C14">
        <v>10933</v>
      </c>
      <c r="D14">
        <v>0</v>
      </c>
      <c r="E14">
        <v>10880</v>
      </c>
      <c r="J14" s="22">
        <v>42887</v>
      </c>
      <c r="K14">
        <v>136352</v>
      </c>
      <c r="L14">
        <v>10933</v>
      </c>
      <c r="M14">
        <v>0</v>
      </c>
      <c r="N14">
        <v>10880</v>
      </c>
    </row>
    <row r="15" spans="1:14" x14ac:dyDescent="0.3">
      <c r="A15" s="47">
        <v>42887</v>
      </c>
      <c r="B15">
        <v>136353</v>
      </c>
      <c r="C15">
        <v>995</v>
      </c>
      <c r="D15">
        <v>0</v>
      </c>
      <c r="E15">
        <v>995</v>
      </c>
      <c r="J15" s="22">
        <v>42887</v>
      </c>
      <c r="K15">
        <v>136353</v>
      </c>
      <c r="L15">
        <v>995</v>
      </c>
      <c r="M15">
        <v>0</v>
      </c>
      <c r="N15">
        <v>995</v>
      </c>
    </row>
    <row r="16" spans="1:14" x14ac:dyDescent="0.3">
      <c r="A16" s="47">
        <v>42887</v>
      </c>
      <c r="B16">
        <v>136357</v>
      </c>
      <c r="C16">
        <v>4455</v>
      </c>
      <c r="D16">
        <v>55</v>
      </c>
      <c r="E16">
        <v>3330</v>
      </c>
      <c r="J16" s="22">
        <v>42887</v>
      </c>
      <c r="K16">
        <v>136357</v>
      </c>
      <c r="L16">
        <v>4455</v>
      </c>
      <c r="M16">
        <v>55</v>
      </c>
      <c r="N16">
        <v>3330</v>
      </c>
    </row>
    <row r="17" spans="1:14" x14ac:dyDescent="0.3">
      <c r="A17" s="47">
        <v>42887</v>
      </c>
      <c r="B17">
        <v>136362</v>
      </c>
      <c r="C17">
        <v>28737</v>
      </c>
      <c r="D17">
        <v>4849</v>
      </c>
      <c r="E17">
        <v>9082</v>
      </c>
      <c r="J17" s="22">
        <v>42887</v>
      </c>
      <c r="K17">
        <v>136362</v>
      </c>
      <c r="L17">
        <v>28737</v>
      </c>
      <c r="M17">
        <v>4849</v>
      </c>
      <c r="N17">
        <v>9082</v>
      </c>
    </row>
    <row r="18" spans="1:14" x14ac:dyDescent="0.3">
      <c r="A18" s="47">
        <v>42887</v>
      </c>
      <c r="B18">
        <v>136363</v>
      </c>
      <c r="C18">
        <v>28926</v>
      </c>
      <c r="D18">
        <v>406</v>
      </c>
      <c r="E18">
        <v>8794</v>
      </c>
      <c r="J18" s="22">
        <v>42887</v>
      </c>
      <c r="K18">
        <v>136363</v>
      </c>
      <c r="L18">
        <v>28926</v>
      </c>
      <c r="M18">
        <v>406</v>
      </c>
      <c r="N18">
        <v>8794</v>
      </c>
    </row>
    <row r="19" spans="1:14" x14ac:dyDescent="0.3">
      <c r="A19" s="47">
        <v>42887</v>
      </c>
      <c r="B19">
        <v>136364</v>
      </c>
      <c r="C19">
        <v>29032</v>
      </c>
      <c r="D19">
        <v>1804</v>
      </c>
      <c r="E19">
        <v>12269</v>
      </c>
      <c r="J19" s="22">
        <v>42887</v>
      </c>
      <c r="K19">
        <v>136364</v>
      </c>
      <c r="L19">
        <v>29032</v>
      </c>
      <c r="M19">
        <v>1804</v>
      </c>
      <c r="N19">
        <v>12269</v>
      </c>
    </row>
    <row r="20" spans="1:14" x14ac:dyDescent="0.3">
      <c r="A20" s="47">
        <v>42887</v>
      </c>
      <c r="B20">
        <v>136366</v>
      </c>
      <c r="C20">
        <v>2348</v>
      </c>
      <c r="D20">
        <v>42</v>
      </c>
      <c r="E20">
        <v>956</v>
      </c>
      <c r="J20" s="22">
        <v>42887</v>
      </c>
      <c r="K20">
        <v>136366</v>
      </c>
      <c r="L20">
        <v>2348</v>
      </c>
      <c r="M20">
        <v>42</v>
      </c>
      <c r="N20">
        <v>956</v>
      </c>
    </row>
    <row r="21" spans="1:14" x14ac:dyDescent="0.3">
      <c r="A21" s="47">
        <v>42887</v>
      </c>
      <c r="B21">
        <v>136367</v>
      </c>
      <c r="C21">
        <v>28425</v>
      </c>
      <c r="D21">
        <v>2627</v>
      </c>
      <c r="E21">
        <v>9216</v>
      </c>
      <c r="J21" s="22">
        <v>42887</v>
      </c>
      <c r="K21">
        <v>136367</v>
      </c>
      <c r="L21">
        <v>28425</v>
      </c>
      <c r="M21">
        <v>2627</v>
      </c>
      <c r="N21">
        <v>9216</v>
      </c>
    </row>
    <row r="22" spans="1:14" x14ac:dyDescent="0.3">
      <c r="A22" s="47">
        <v>42887</v>
      </c>
      <c r="B22">
        <v>136368</v>
      </c>
      <c r="C22">
        <v>29280</v>
      </c>
      <c r="D22">
        <v>270</v>
      </c>
      <c r="E22">
        <v>11641</v>
      </c>
      <c r="J22" s="22">
        <v>42887</v>
      </c>
      <c r="K22">
        <v>136368</v>
      </c>
      <c r="L22">
        <v>29280</v>
      </c>
      <c r="M22">
        <v>270</v>
      </c>
      <c r="N22">
        <v>11641</v>
      </c>
    </row>
    <row r="23" spans="1:14" x14ac:dyDescent="0.3">
      <c r="A23" s="47">
        <v>42887</v>
      </c>
      <c r="B23">
        <v>136375</v>
      </c>
      <c r="C23">
        <v>152</v>
      </c>
      <c r="D23">
        <v>0</v>
      </c>
      <c r="E23">
        <v>115</v>
      </c>
      <c r="J23" s="22">
        <v>42887</v>
      </c>
      <c r="K23">
        <v>136375</v>
      </c>
      <c r="L23">
        <v>152</v>
      </c>
      <c r="M23">
        <v>0</v>
      </c>
      <c r="N23">
        <v>115</v>
      </c>
    </row>
    <row r="24" spans="1:14" x14ac:dyDescent="0.3">
      <c r="A24" s="68">
        <v>42887</v>
      </c>
      <c r="B24" s="23">
        <v>136377</v>
      </c>
      <c r="C24" s="23">
        <v>2774</v>
      </c>
      <c r="D24" s="23">
        <v>0</v>
      </c>
      <c r="E24" s="23">
        <v>2439</v>
      </c>
      <c r="J24" s="67">
        <v>42887</v>
      </c>
      <c r="K24" s="23">
        <v>136377</v>
      </c>
      <c r="L24" s="23">
        <v>441</v>
      </c>
      <c r="M24" s="23">
        <v>0</v>
      </c>
      <c r="N24" s="23">
        <v>441</v>
      </c>
    </row>
    <row r="25" spans="1:14" x14ac:dyDescent="0.3">
      <c r="A25" s="47">
        <v>42887</v>
      </c>
      <c r="B25">
        <v>136380</v>
      </c>
      <c r="C25">
        <v>1490</v>
      </c>
      <c r="D25">
        <v>0</v>
      </c>
      <c r="E25">
        <v>1444</v>
      </c>
      <c r="J25" s="22">
        <v>42887</v>
      </c>
      <c r="K25">
        <v>136380</v>
      </c>
      <c r="L25">
        <v>1490</v>
      </c>
      <c r="M25">
        <v>0</v>
      </c>
      <c r="N25">
        <v>1444</v>
      </c>
    </row>
    <row r="26" spans="1:14" x14ac:dyDescent="0.3">
      <c r="A26" s="47">
        <v>42887</v>
      </c>
      <c r="B26">
        <v>136381</v>
      </c>
      <c r="C26">
        <v>1732</v>
      </c>
      <c r="D26">
        <v>0</v>
      </c>
      <c r="E26">
        <v>1732</v>
      </c>
      <c r="J26" s="22">
        <v>42887</v>
      </c>
      <c r="K26">
        <v>136381</v>
      </c>
      <c r="L26">
        <v>1732</v>
      </c>
      <c r="M26">
        <v>0</v>
      </c>
      <c r="N26">
        <v>1732</v>
      </c>
    </row>
    <row r="27" spans="1:14" x14ac:dyDescent="0.3">
      <c r="A27" s="47">
        <v>42887</v>
      </c>
      <c r="B27">
        <v>136384</v>
      </c>
      <c r="C27">
        <v>1996</v>
      </c>
      <c r="D27">
        <v>473</v>
      </c>
      <c r="E27">
        <v>1523</v>
      </c>
      <c r="J27" s="22">
        <v>42887</v>
      </c>
      <c r="K27">
        <v>136384</v>
      </c>
      <c r="L27">
        <v>1996</v>
      </c>
      <c r="M27">
        <v>473</v>
      </c>
      <c r="N27">
        <v>1523</v>
      </c>
    </row>
    <row r="28" spans="1:14" x14ac:dyDescent="0.3">
      <c r="A28" s="47">
        <v>42887</v>
      </c>
      <c r="B28">
        <v>136385</v>
      </c>
      <c r="C28">
        <v>25639</v>
      </c>
      <c r="D28">
        <v>3219</v>
      </c>
      <c r="E28">
        <v>7850</v>
      </c>
      <c r="J28" s="22">
        <v>42887</v>
      </c>
      <c r="K28">
        <v>136385</v>
      </c>
      <c r="L28">
        <v>25639</v>
      </c>
      <c r="M28">
        <v>3219</v>
      </c>
      <c r="N28">
        <v>7850</v>
      </c>
    </row>
    <row r="29" spans="1:14" x14ac:dyDescent="0.3">
      <c r="A29" s="47">
        <v>42887</v>
      </c>
      <c r="B29">
        <v>136387</v>
      </c>
      <c r="C29">
        <v>250</v>
      </c>
      <c r="D29">
        <v>0</v>
      </c>
      <c r="E29">
        <v>201</v>
      </c>
      <c r="J29" s="22">
        <v>42887</v>
      </c>
      <c r="K29">
        <v>136387</v>
      </c>
      <c r="L29">
        <v>250</v>
      </c>
      <c r="M29">
        <v>0</v>
      </c>
      <c r="N29">
        <v>201</v>
      </c>
    </row>
    <row r="30" spans="1:14" x14ac:dyDescent="0.3">
      <c r="A30" s="47">
        <v>42887</v>
      </c>
      <c r="B30">
        <v>136388</v>
      </c>
      <c r="C30">
        <v>28781</v>
      </c>
      <c r="D30">
        <v>340</v>
      </c>
      <c r="E30">
        <v>15935</v>
      </c>
      <c r="J30" s="22">
        <v>42887</v>
      </c>
      <c r="K30">
        <v>136388</v>
      </c>
      <c r="L30">
        <v>28781</v>
      </c>
      <c r="M30">
        <v>340</v>
      </c>
      <c r="N30">
        <v>15935</v>
      </c>
    </row>
    <row r="31" spans="1:14" x14ac:dyDescent="0.3">
      <c r="A31" s="47">
        <v>42887</v>
      </c>
      <c r="B31">
        <v>3325</v>
      </c>
      <c r="C31">
        <v>29555</v>
      </c>
      <c r="D31">
        <v>23875</v>
      </c>
      <c r="E31">
        <v>4017</v>
      </c>
      <c r="J31" s="22">
        <v>42887</v>
      </c>
      <c r="K31">
        <v>3325</v>
      </c>
      <c r="L31">
        <v>29555</v>
      </c>
      <c r="M31">
        <v>23875</v>
      </c>
      <c r="N31">
        <v>4017</v>
      </c>
    </row>
    <row r="32" spans="1:14" x14ac:dyDescent="0.3">
      <c r="A32" s="47">
        <v>42887</v>
      </c>
      <c r="B32">
        <v>6431</v>
      </c>
      <c r="C32">
        <v>30588</v>
      </c>
      <c r="D32">
        <v>23176</v>
      </c>
      <c r="E32">
        <v>5175</v>
      </c>
      <c r="J32" s="22">
        <v>42887</v>
      </c>
      <c r="K32">
        <v>6431</v>
      </c>
      <c r="L32">
        <v>30588</v>
      </c>
      <c r="M32">
        <v>23176</v>
      </c>
      <c r="N32">
        <v>5175</v>
      </c>
    </row>
    <row r="33" spans="1:14" x14ac:dyDescent="0.3">
      <c r="A33" s="47">
        <v>42887</v>
      </c>
      <c r="B33">
        <v>7396</v>
      </c>
      <c r="C33">
        <v>30947</v>
      </c>
      <c r="D33">
        <v>4558</v>
      </c>
      <c r="E33">
        <v>5769</v>
      </c>
      <c r="J33" s="22">
        <v>42887</v>
      </c>
      <c r="K33">
        <v>7396</v>
      </c>
      <c r="L33">
        <v>30947</v>
      </c>
      <c r="M33">
        <v>4558</v>
      </c>
      <c r="N33">
        <v>5769</v>
      </c>
    </row>
    <row r="34" spans="1:14" x14ac:dyDescent="0.3">
      <c r="A34" s="47">
        <v>42887</v>
      </c>
      <c r="B34">
        <v>100871</v>
      </c>
      <c r="C34">
        <v>23391</v>
      </c>
      <c r="D34">
        <v>448</v>
      </c>
      <c r="E34">
        <v>2689</v>
      </c>
      <c r="J34" s="22">
        <v>42887</v>
      </c>
      <c r="K34">
        <v>100871</v>
      </c>
      <c r="L34">
        <v>23391</v>
      </c>
      <c r="M34">
        <v>448</v>
      </c>
      <c r="N34">
        <v>2689</v>
      </c>
    </row>
    <row r="35" spans="1:14" x14ac:dyDescent="0.3">
      <c r="A35" s="47">
        <v>42887</v>
      </c>
      <c r="B35">
        <v>100884</v>
      </c>
      <c r="C35">
        <v>27096</v>
      </c>
      <c r="D35">
        <v>357</v>
      </c>
      <c r="E35">
        <v>14639</v>
      </c>
      <c r="J35" s="22">
        <v>42887</v>
      </c>
      <c r="K35">
        <v>100884</v>
      </c>
      <c r="L35">
        <v>27096</v>
      </c>
      <c r="M35">
        <v>357</v>
      </c>
      <c r="N35">
        <v>14639</v>
      </c>
    </row>
    <row r="36" spans="1:14" x14ac:dyDescent="0.3">
      <c r="A36" s="47">
        <v>42887</v>
      </c>
      <c r="B36">
        <v>102688</v>
      </c>
      <c r="C36">
        <v>21613</v>
      </c>
      <c r="D36">
        <v>3185</v>
      </c>
      <c r="E36">
        <v>5087</v>
      </c>
      <c r="J36" s="22">
        <v>42887</v>
      </c>
      <c r="K36">
        <v>102688</v>
      </c>
      <c r="L36">
        <v>21613</v>
      </c>
      <c r="M36">
        <v>3185</v>
      </c>
      <c r="N36">
        <v>5087</v>
      </c>
    </row>
    <row r="37" spans="1:14" x14ac:dyDescent="0.3">
      <c r="A37" s="47">
        <v>42887</v>
      </c>
      <c r="B37">
        <v>102720</v>
      </c>
      <c r="C37">
        <v>32849</v>
      </c>
      <c r="D37">
        <v>702</v>
      </c>
      <c r="E37">
        <v>8206</v>
      </c>
      <c r="J37" s="22">
        <v>42887</v>
      </c>
      <c r="K37">
        <v>102720</v>
      </c>
      <c r="L37">
        <v>32849</v>
      </c>
      <c r="M37">
        <v>702</v>
      </c>
      <c r="N37">
        <v>8206</v>
      </c>
    </row>
    <row r="38" spans="1:14" x14ac:dyDescent="0.3">
      <c r="A38" s="47">
        <v>42887</v>
      </c>
      <c r="B38">
        <v>102724</v>
      </c>
      <c r="C38">
        <v>13058</v>
      </c>
      <c r="D38">
        <v>325</v>
      </c>
      <c r="E38">
        <v>1913</v>
      </c>
      <c r="J38" s="22">
        <v>42887</v>
      </c>
      <c r="K38">
        <v>102724</v>
      </c>
      <c r="L38">
        <v>13058</v>
      </c>
      <c r="M38">
        <v>325</v>
      </c>
      <c r="N38">
        <v>1913</v>
      </c>
    </row>
    <row r="39" spans="1:14" x14ac:dyDescent="0.3">
      <c r="A39" s="47">
        <v>42887</v>
      </c>
      <c r="B39">
        <v>102736</v>
      </c>
      <c r="C39">
        <v>32486</v>
      </c>
      <c r="D39">
        <v>4556</v>
      </c>
      <c r="E39">
        <v>7013</v>
      </c>
      <c r="J39" s="22">
        <v>42887</v>
      </c>
      <c r="K39">
        <v>102736</v>
      </c>
      <c r="L39">
        <v>32486</v>
      </c>
      <c r="M39">
        <v>4556</v>
      </c>
      <c r="N39">
        <v>7013</v>
      </c>
    </row>
    <row r="40" spans="1:14" x14ac:dyDescent="0.3">
      <c r="A40" s="47">
        <v>42887</v>
      </c>
      <c r="B40">
        <v>102739</v>
      </c>
      <c r="C40">
        <v>7479</v>
      </c>
      <c r="D40">
        <v>2441</v>
      </c>
      <c r="E40">
        <v>1157</v>
      </c>
      <c r="J40" s="22">
        <v>42887</v>
      </c>
      <c r="K40">
        <v>102739</v>
      </c>
      <c r="L40">
        <v>7479</v>
      </c>
      <c r="M40">
        <v>2441</v>
      </c>
      <c r="N40">
        <v>1157</v>
      </c>
    </row>
    <row r="41" spans="1:14" x14ac:dyDescent="0.3">
      <c r="A41" s="47">
        <v>42887</v>
      </c>
      <c r="B41">
        <v>104601</v>
      </c>
      <c r="C41">
        <v>32546</v>
      </c>
      <c r="D41">
        <v>829</v>
      </c>
      <c r="E41">
        <v>7049</v>
      </c>
      <c r="J41" s="22">
        <v>42887</v>
      </c>
      <c r="K41">
        <v>104601</v>
      </c>
      <c r="L41">
        <v>32546</v>
      </c>
      <c r="M41">
        <v>829</v>
      </c>
      <c r="N41">
        <v>7049</v>
      </c>
    </row>
    <row r="42" spans="1:14" x14ac:dyDescent="0.3">
      <c r="A42" s="47">
        <v>42887</v>
      </c>
      <c r="B42">
        <v>104615</v>
      </c>
      <c r="C42">
        <v>26436</v>
      </c>
      <c r="D42">
        <v>3183</v>
      </c>
      <c r="E42">
        <v>5588</v>
      </c>
      <c r="J42" s="22">
        <v>42887</v>
      </c>
      <c r="K42">
        <v>104615</v>
      </c>
      <c r="L42">
        <v>26436</v>
      </c>
      <c r="M42">
        <v>3183</v>
      </c>
      <c r="N42">
        <v>5588</v>
      </c>
    </row>
    <row r="43" spans="1:14" x14ac:dyDescent="0.3">
      <c r="A43" s="47">
        <v>42887</v>
      </c>
      <c r="B43">
        <v>104617</v>
      </c>
      <c r="C43">
        <v>21512</v>
      </c>
      <c r="D43">
        <v>697</v>
      </c>
      <c r="E43">
        <v>2445</v>
      </c>
      <c r="J43" s="22">
        <v>42887</v>
      </c>
      <c r="K43">
        <v>104617</v>
      </c>
      <c r="L43">
        <v>21512</v>
      </c>
      <c r="M43">
        <v>697</v>
      </c>
      <c r="N43">
        <v>2445</v>
      </c>
    </row>
    <row r="44" spans="1:14" x14ac:dyDescent="0.3">
      <c r="A44" s="47">
        <v>42887</v>
      </c>
      <c r="B44">
        <v>104633</v>
      </c>
      <c r="C44">
        <v>12504</v>
      </c>
      <c r="D44">
        <v>380</v>
      </c>
      <c r="E44">
        <v>1294</v>
      </c>
      <c r="J44" s="22">
        <v>42887</v>
      </c>
      <c r="K44">
        <v>104633</v>
      </c>
      <c r="L44">
        <v>12504</v>
      </c>
      <c r="M44">
        <v>380</v>
      </c>
      <c r="N44">
        <v>1294</v>
      </c>
    </row>
    <row r="45" spans="1:14" x14ac:dyDescent="0.3">
      <c r="A45" s="47">
        <v>42887</v>
      </c>
      <c r="B45">
        <v>110752</v>
      </c>
      <c r="C45">
        <v>32516</v>
      </c>
      <c r="D45">
        <v>8297</v>
      </c>
      <c r="E45">
        <v>5644</v>
      </c>
      <c r="J45" s="22">
        <v>42887</v>
      </c>
      <c r="K45">
        <v>110752</v>
      </c>
      <c r="L45">
        <v>32516</v>
      </c>
      <c r="M45">
        <v>8297</v>
      </c>
      <c r="N45">
        <v>5644</v>
      </c>
    </row>
    <row r="46" spans="1:14" x14ac:dyDescent="0.3">
      <c r="A46" s="47">
        <v>42887</v>
      </c>
      <c r="B46">
        <v>116547</v>
      </c>
      <c r="C46">
        <v>30487</v>
      </c>
      <c r="D46">
        <v>7472</v>
      </c>
      <c r="E46">
        <v>3746</v>
      </c>
      <c r="J46" s="22">
        <v>42887</v>
      </c>
      <c r="K46">
        <v>116547</v>
      </c>
      <c r="L46">
        <v>30487</v>
      </c>
      <c r="M46">
        <v>7472</v>
      </c>
      <c r="N46">
        <v>3746</v>
      </c>
    </row>
    <row r="47" spans="1:14" x14ac:dyDescent="0.3">
      <c r="A47" s="47">
        <v>42887</v>
      </c>
      <c r="B47">
        <v>116769</v>
      </c>
      <c r="C47">
        <v>12457</v>
      </c>
      <c r="D47">
        <v>329</v>
      </c>
      <c r="E47">
        <v>1764</v>
      </c>
      <c r="J47" s="22">
        <v>42887</v>
      </c>
      <c r="K47">
        <v>116769</v>
      </c>
      <c r="L47">
        <v>12457</v>
      </c>
      <c r="M47">
        <v>329</v>
      </c>
      <c r="N47">
        <v>1764</v>
      </c>
    </row>
    <row r="48" spans="1:14" x14ac:dyDescent="0.3">
      <c r="A48" s="47">
        <v>42887</v>
      </c>
      <c r="B48">
        <v>116797</v>
      </c>
      <c r="C48">
        <v>31303</v>
      </c>
      <c r="D48">
        <v>7921</v>
      </c>
      <c r="E48">
        <v>6887</v>
      </c>
      <c r="J48" s="22">
        <v>42887</v>
      </c>
      <c r="K48">
        <v>116797</v>
      </c>
      <c r="L48">
        <v>31303</v>
      </c>
      <c r="M48">
        <v>7921</v>
      </c>
      <c r="N48">
        <v>6887</v>
      </c>
    </row>
    <row r="49" spans="1:14" x14ac:dyDescent="0.3">
      <c r="A49" s="47">
        <v>42887</v>
      </c>
      <c r="B49">
        <v>116802</v>
      </c>
      <c r="C49">
        <v>28969</v>
      </c>
      <c r="D49">
        <v>4247</v>
      </c>
      <c r="E49">
        <v>4517</v>
      </c>
      <c r="J49" s="22">
        <v>42887</v>
      </c>
      <c r="K49">
        <v>116802</v>
      </c>
      <c r="L49">
        <v>28969</v>
      </c>
      <c r="M49">
        <v>4247</v>
      </c>
      <c r="N49">
        <v>4517</v>
      </c>
    </row>
    <row r="50" spans="1:14" x14ac:dyDescent="0.3">
      <c r="A50" s="47">
        <v>42887</v>
      </c>
      <c r="B50">
        <v>116812</v>
      </c>
      <c r="C50">
        <v>24233</v>
      </c>
      <c r="D50">
        <v>137</v>
      </c>
      <c r="E50">
        <v>21205</v>
      </c>
      <c r="J50" s="22">
        <v>42887</v>
      </c>
      <c r="K50">
        <v>116812</v>
      </c>
      <c r="L50">
        <v>24233</v>
      </c>
      <c r="M50">
        <v>137</v>
      </c>
      <c r="N50">
        <v>21205</v>
      </c>
    </row>
    <row r="51" spans="1:14" x14ac:dyDescent="0.3">
      <c r="A51" s="47">
        <v>42887</v>
      </c>
      <c r="B51">
        <v>117800</v>
      </c>
      <c r="C51">
        <v>30450</v>
      </c>
      <c r="D51">
        <v>458</v>
      </c>
      <c r="E51">
        <v>6891</v>
      </c>
      <c r="J51" s="22">
        <v>42887</v>
      </c>
      <c r="K51">
        <v>117800</v>
      </c>
      <c r="L51">
        <v>30450</v>
      </c>
      <c r="M51">
        <v>458</v>
      </c>
      <c r="N51">
        <v>6891</v>
      </c>
    </row>
    <row r="52" spans="1:14" x14ac:dyDescent="0.3">
      <c r="A52" s="47">
        <v>42887</v>
      </c>
      <c r="B52">
        <v>117812</v>
      </c>
      <c r="C52">
        <v>28266</v>
      </c>
      <c r="D52">
        <v>53</v>
      </c>
      <c r="E52">
        <v>25561</v>
      </c>
      <c r="J52" s="22">
        <v>42887</v>
      </c>
      <c r="K52">
        <v>117812</v>
      </c>
      <c r="L52">
        <v>28266</v>
      </c>
      <c r="M52">
        <v>53</v>
      </c>
      <c r="N52">
        <v>25561</v>
      </c>
    </row>
    <row r="53" spans="1:14" x14ac:dyDescent="0.3">
      <c r="A53" s="47">
        <v>42887</v>
      </c>
      <c r="B53">
        <v>117817</v>
      </c>
      <c r="C53">
        <v>18519</v>
      </c>
      <c r="D53">
        <v>560</v>
      </c>
      <c r="E53">
        <v>1864</v>
      </c>
      <c r="J53" s="22">
        <v>42887</v>
      </c>
      <c r="K53">
        <v>117817</v>
      </c>
      <c r="L53">
        <v>18519</v>
      </c>
      <c r="M53">
        <v>560</v>
      </c>
      <c r="N53">
        <v>1864</v>
      </c>
    </row>
    <row r="54" spans="1:14" x14ac:dyDescent="0.3">
      <c r="A54" s="47">
        <v>42887</v>
      </c>
      <c r="B54">
        <v>118667</v>
      </c>
      <c r="C54">
        <v>3292</v>
      </c>
      <c r="D54">
        <v>93</v>
      </c>
      <c r="E54">
        <v>1051</v>
      </c>
      <c r="J54" s="22">
        <v>42887</v>
      </c>
      <c r="K54">
        <v>118667</v>
      </c>
      <c r="L54">
        <v>3292</v>
      </c>
      <c r="M54">
        <v>93</v>
      </c>
      <c r="N54">
        <v>1051</v>
      </c>
    </row>
    <row r="55" spans="1:14" x14ac:dyDescent="0.3">
      <c r="A55" s="47">
        <v>42887</v>
      </c>
      <c r="B55">
        <v>118678</v>
      </c>
      <c r="C55">
        <v>32590</v>
      </c>
      <c r="D55">
        <v>7228</v>
      </c>
      <c r="E55">
        <v>6058</v>
      </c>
      <c r="J55" s="22">
        <v>42887</v>
      </c>
      <c r="K55">
        <v>118678</v>
      </c>
      <c r="L55">
        <v>32590</v>
      </c>
      <c r="M55">
        <v>7228</v>
      </c>
      <c r="N55">
        <v>6058</v>
      </c>
    </row>
    <row r="56" spans="1:14" x14ac:dyDescent="0.3">
      <c r="A56" s="47">
        <v>42887</v>
      </c>
      <c r="B56">
        <v>118680</v>
      </c>
      <c r="C56">
        <v>32556</v>
      </c>
      <c r="D56">
        <v>755</v>
      </c>
      <c r="E56">
        <v>6527</v>
      </c>
      <c r="J56" s="22">
        <v>42887</v>
      </c>
      <c r="K56">
        <v>118680</v>
      </c>
      <c r="L56">
        <v>32556</v>
      </c>
      <c r="M56">
        <v>755</v>
      </c>
      <c r="N56">
        <v>6527</v>
      </c>
    </row>
    <row r="57" spans="1:14" x14ac:dyDescent="0.3">
      <c r="A57" s="47">
        <v>42887</v>
      </c>
      <c r="B57">
        <v>118707</v>
      </c>
      <c r="C57">
        <v>29020</v>
      </c>
      <c r="D57">
        <v>5784</v>
      </c>
      <c r="E57">
        <v>4106</v>
      </c>
      <c r="J57" s="22">
        <v>42887</v>
      </c>
      <c r="K57">
        <v>118707</v>
      </c>
      <c r="L57">
        <v>29020</v>
      </c>
      <c r="M57">
        <v>5784</v>
      </c>
      <c r="N57">
        <v>4106</v>
      </c>
    </row>
    <row r="58" spans="1:14" x14ac:dyDescent="0.3">
      <c r="A58" s="47">
        <v>42887</v>
      </c>
      <c r="B58">
        <v>118720</v>
      </c>
      <c r="C58">
        <v>33122</v>
      </c>
      <c r="D58">
        <v>489</v>
      </c>
      <c r="E58">
        <v>13085</v>
      </c>
      <c r="J58" s="22">
        <v>42887</v>
      </c>
      <c r="K58">
        <v>118720</v>
      </c>
      <c r="L58">
        <v>33122</v>
      </c>
      <c r="M58">
        <v>489</v>
      </c>
      <c r="N58">
        <v>13085</v>
      </c>
    </row>
    <row r="59" spans="1:14" x14ac:dyDescent="0.3">
      <c r="A59" s="47">
        <v>42887</v>
      </c>
      <c r="B59">
        <v>118726</v>
      </c>
      <c r="C59">
        <v>30804</v>
      </c>
      <c r="D59">
        <v>628</v>
      </c>
      <c r="E59">
        <v>8403</v>
      </c>
      <c r="J59" s="22">
        <v>42887</v>
      </c>
      <c r="K59">
        <v>118726</v>
      </c>
      <c r="L59">
        <v>30804</v>
      </c>
      <c r="M59">
        <v>628</v>
      </c>
      <c r="N59">
        <v>8403</v>
      </c>
    </row>
    <row r="60" spans="1:14" x14ac:dyDescent="0.3">
      <c r="A60" s="47">
        <v>42887</v>
      </c>
      <c r="B60">
        <v>118740</v>
      </c>
      <c r="C60">
        <v>32533</v>
      </c>
      <c r="D60">
        <v>7940</v>
      </c>
      <c r="E60">
        <v>5659</v>
      </c>
      <c r="J60" s="22">
        <v>42887</v>
      </c>
      <c r="K60">
        <v>118740</v>
      </c>
      <c r="L60">
        <v>32533</v>
      </c>
      <c r="M60">
        <v>7940</v>
      </c>
      <c r="N60">
        <v>5659</v>
      </c>
    </row>
    <row r="61" spans="1:14" x14ac:dyDescent="0.3">
      <c r="A61" s="47">
        <v>42887</v>
      </c>
      <c r="B61">
        <v>118743</v>
      </c>
      <c r="C61">
        <v>32597</v>
      </c>
      <c r="D61">
        <v>558</v>
      </c>
      <c r="E61">
        <v>5753</v>
      </c>
      <c r="J61" s="22">
        <v>42887</v>
      </c>
      <c r="K61">
        <v>118743</v>
      </c>
      <c r="L61">
        <v>32597</v>
      </c>
      <c r="M61">
        <v>558</v>
      </c>
      <c r="N61">
        <v>5753</v>
      </c>
    </row>
    <row r="62" spans="1:14" x14ac:dyDescent="0.3">
      <c r="A62" s="47">
        <v>42887</v>
      </c>
      <c r="B62">
        <v>119463</v>
      </c>
      <c r="C62">
        <v>32408</v>
      </c>
      <c r="D62">
        <v>7087</v>
      </c>
      <c r="E62">
        <v>6802</v>
      </c>
      <c r="J62" s="22">
        <v>42887</v>
      </c>
      <c r="K62">
        <v>119463</v>
      </c>
      <c r="L62">
        <v>32408</v>
      </c>
      <c r="M62">
        <v>7087</v>
      </c>
      <c r="N62">
        <v>6802</v>
      </c>
    </row>
    <row r="63" spans="1:14" x14ac:dyDescent="0.3">
      <c r="A63" s="47">
        <v>42887</v>
      </c>
      <c r="B63">
        <v>119470</v>
      </c>
      <c r="C63">
        <v>31189</v>
      </c>
      <c r="D63">
        <v>6251</v>
      </c>
      <c r="E63">
        <v>5524</v>
      </c>
      <c r="J63" s="22">
        <v>42887</v>
      </c>
      <c r="K63">
        <v>119470</v>
      </c>
      <c r="L63">
        <v>31189</v>
      </c>
      <c r="M63">
        <v>6251</v>
      </c>
      <c r="N63">
        <v>5524</v>
      </c>
    </row>
    <row r="64" spans="1:14" x14ac:dyDescent="0.3">
      <c r="A64" s="47">
        <v>42887</v>
      </c>
      <c r="B64">
        <v>124286</v>
      </c>
      <c r="C64">
        <v>32391</v>
      </c>
      <c r="D64">
        <v>6050</v>
      </c>
      <c r="E64">
        <v>7664</v>
      </c>
      <c r="J64" s="22">
        <v>42887</v>
      </c>
      <c r="K64">
        <v>124286</v>
      </c>
      <c r="L64">
        <v>32391</v>
      </c>
      <c r="M64">
        <v>6050</v>
      </c>
      <c r="N64">
        <v>7664</v>
      </c>
    </row>
    <row r="65" spans="1:14" x14ac:dyDescent="0.3">
      <c r="A65" s="47">
        <v>42887</v>
      </c>
      <c r="B65">
        <v>124287</v>
      </c>
      <c r="C65">
        <v>21679</v>
      </c>
      <c r="D65">
        <v>0</v>
      </c>
      <c r="E65">
        <v>21679</v>
      </c>
      <c r="J65" s="22">
        <v>42887</v>
      </c>
      <c r="K65">
        <v>124287</v>
      </c>
      <c r="L65">
        <v>21679</v>
      </c>
      <c r="M65">
        <v>0</v>
      </c>
      <c r="N65">
        <v>21679</v>
      </c>
    </row>
    <row r="66" spans="1:14" x14ac:dyDescent="0.3">
      <c r="A66" s="47">
        <v>42887</v>
      </c>
      <c r="B66">
        <v>124290</v>
      </c>
      <c r="C66">
        <v>29711</v>
      </c>
      <c r="D66">
        <v>5247</v>
      </c>
      <c r="E66">
        <v>8127</v>
      </c>
      <c r="J66" s="22">
        <v>42887</v>
      </c>
      <c r="K66">
        <v>124290</v>
      </c>
      <c r="L66">
        <v>29711</v>
      </c>
      <c r="M66">
        <v>5247</v>
      </c>
      <c r="N66">
        <v>8127</v>
      </c>
    </row>
    <row r="67" spans="1:14" x14ac:dyDescent="0.3">
      <c r="A67" s="47">
        <v>42887</v>
      </c>
      <c r="B67">
        <v>124296</v>
      </c>
      <c r="C67">
        <v>29133</v>
      </c>
      <c r="D67">
        <v>1033</v>
      </c>
      <c r="E67">
        <v>3940</v>
      </c>
      <c r="J67" s="22">
        <v>42887</v>
      </c>
      <c r="K67">
        <v>124296</v>
      </c>
      <c r="L67">
        <v>29133</v>
      </c>
      <c r="M67">
        <v>1033</v>
      </c>
      <c r="N67">
        <v>3940</v>
      </c>
    </row>
    <row r="68" spans="1:14" x14ac:dyDescent="0.3">
      <c r="A68" s="47">
        <v>42887</v>
      </c>
      <c r="B68">
        <v>128918</v>
      </c>
      <c r="C68">
        <v>32133</v>
      </c>
      <c r="D68">
        <v>3921</v>
      </c>
      <c r="E68">
        <v>5615</v>
      </c>
      <c r="J68" s="22">
        <v>42887</v>
      </c>
      <c r="K68">
        <v>128918</v>
      </c>
      <c r="L68">
        <v>32133</v>
      </c>
      <c r="M68">
        <v>3921</v>
      </c>
      <c r="N68">
        <v>5615</v>
      </c>
    </row>
    <row r="69" spans="1:14" x14ac:dyDescent="0.3">
      <c r="A69" s="47">
        <v>42887</v>
      </c>
      <c r="B69">
        <v>128923</v>
      </c>
      <c r="C69">
        <v>14130</v>
      </c>
      <c r="D69">
        <v>2487</v>
      </c>
      <c r="E69">
        <v>1005</v>
      </c>
      <c r="J69" s="22">
        <v>42887</v>
      </c>
      <c r="K69">
        <v>128923</v>
      </c>
      <c r="L69">
        <v>14130</v>
      </c>
      <c r="M69">
        <v>2487</v>
      </c>
      <c r="N69">
        <v>1005</v>
      </c>
    </row>
    <row r="70" spans="1:14" x14ac:dyDescent="0.3">
      <c r="A70" s="47">
        <v>42887</v>
      </c>
      <c r="B70">
        <v>128931</v>
      </c>
      <c r="C70">
        <v>32219</v>
      </c>
      <c r="D70">
        <v>9586</v>
      </c>
      <c r="E70">
        <v>7448</v>
      </c>
      <c r="J70" s="22">
        <v>42887</v>
      </c>
      <c r="K70">
        <v>128931</v>
      </c>
      <c r="L70">
        <v>32219</v>
      </c>
      <c r="M70">
        <v>9586</v>
      </c>
      <c r="N70">
        <v>7448</v>
      </c>
    </row>
    <row r="71" spans="1:14" x14ac:dyDescent="0.3">
      <c r="A71" s="47">
        <v>42887</v>
      </c>
      <c r="B71">
        <v>128933</v>
      </c>
      <c r="C71">
        <v>23429</v>
      </c>
      <c r="D71">
        <v>3648</v>
      </c>
      <c r="E71">
        <v>4895</v>
      </c>
      <c r="J71" s="22">
        <v>42887</v>
      </c>
      <c r="K71">
        <v>128933</v>
      </c>
      <c r="L71">
        <v>23429</v>
      </c>
      <c r="M71">
        <v>3648</v>
      </c>
      <c r="N71">
        <v>4895</v>
      </c>
    </row>
    <row r="72" spans="1:14" x14ac:dyDescent="0.3">
      <c r="A72" s="47">
        <v>42887</v>
      </c>
      <c r="B72">
        <v>128934</v>
      </c>
      <c r="C72">
        <v>32685</v>
      </c>
      <c r="D72">
        <v>825</v>
      </c>
      <c r="E72">
        <v>5915</v>
      </c>
      <c r="J72" s="22">
        <v>42887</v>
      </c>
      <c r="K72">
        <v>128934</v>
      </c>
      <c r="L72">
        <v>32685</v>
      </c>
      <c r="M72">
        <v>825</v>
      </c>
      <c r="N72">
        <v>5915</v>
      </c>
    </row>
    <row r="73" spans="1:14" x14ac:dyDescent="0.3">
      <c r="A73" s="47">
        <v>42887</v>
      </c>
      <c r="B73">
        <v>130684</v>
      </c>
      <c r="C73">
        <v>31187</v>
      </c>
      <c r="D73">
        <v>6370</v>
      </c>
      <c r="E73">
        <v>6617</v>
      </c>
      <c r="J73" s="22">
        <v>42887</v>
      </c>
      <c r="K73">
        <v>130684</v>
      </c>
      <c r="L73">
        <v>31187</v>
      </c>
      <c r="M73">
        <v>6370</v>
      </c>
      <c r="N73">
        <v>6617</v>
      </c>
    </row>
    <row r="74" spans="1:14" x14ac:dyDescent="0.3">
      <c r="A74" s="47">
        <v>42887</v>
      </c>
      <c r="B74">
        <v>130698</v>
      </c>
      <c r="C74">
        <v>18227</v>
      </c>
      <c r="D74">
        <v>395</v>
      </c>
      <c r="E74">
        <v>1357</v>
      </c>
      <c r="J74" s="22">
        <v>42887</v>
      </c>
      <c r="K74">
        <v>130698</v>
      </c>
      <c r="L74">
        <v>18227</v>
      </c>
      <c r="M74">
        <v>395</v>
      </c>
      <c r="N74">
        <v>1357</v>
      </c>
    </row>
    <row r="75" spans="1:14" x14ac:dyDescent="0.3">
      <c r="A75" s="47">
        <v>42887</v>
      </c>
      <c r="B75">
        <v>130699</v>
      </c>
      <c r="C75">
        <v>32571</v>
      </c>
      <c r="D75">
        <v>702</v>
      </c>
      <c r="E75">
        <v>15836</v>
      </c>
      <c r="J75" s="22">
        <v>42887</v>
      </c>
      <c r="K75">
        <v>130699</v>
      </c>
      <c r="L75">
        <v>32571</v>
      </c>
      <c r="M75">
        <v>702</v>
      </c>
      <c r="N75">
        <v>15836</v>
      </c>
    </row>
    <row r="76" spans="1:14" x14ac:dyDescent="0.3">
      <c r="A76" s="47">
        <v>42887</v>
      </c>
      <c r="B76">
        <v>130710</v>
      </c>
      <c r="C76">
        <v>32433</v>
      </c>
      <c r="D76">
        <v>6516</v>
      </c>
      <c r="E76">
        <v>6373</v>
      </c>
      <c r="J76" s="22">
        <v>42887</v>
      </c>
      <c r="K76">
        <v>130710</v>
      </c>
      <c r="L76">
        <v>32433</v>
      </c>
      <c r="M76">
        <v>6516</v>
      </c>
      <c r="N76">
        <v>6373</v>
      </c>
    </row>
    <row r="77" spans="1:14" x14ac:dyDescent="0.3">
      <c r="A77" s="47">
        <v>42887</v>
      </c>
      <c r="B77">
        <v>131656</v>
      </c>
      <c r="C77">
        <v>30522</v>
      </c>
      <c r="D77">
        <v>6168</v>
      </c>
      <c r="E77">
        <v>3731</v>
      </c>
      <c r="J77" s="22">
        <v>42887</v>
      </c>
      <c r="K77">
        <v>131656</v>
      </c>
      <c r="L77">
        <v>30522</v>
      </c>
      <c r="M77">
        <v>6168</v>
      </c>
      <c r="N77">
        <v>3731</v>
      </c>
    </row>
    <row r="78" spans="1:14" x14ac:dyDescent="0.3">
      <c r="A78" s="47">
        <v>42887</v>
      </c>
      <c r="B78">
        <v>131658</v>
      </c>
      <c r="C78">
        <v>32401</v>
      </c>
      <c r="D78">
        <v>8025</v>
      </c>
      <c r="E78">
        <v>5602</v>
      </c>
      <c r="J78" s="22">
        <v>42887</v>
      </c>
      <c r="K78">
        <v>131658</v>
      </c>
      <c r="L78">
        <v>32401</v>
      </c>
      <c r="M78">
        <v>8025</v>
      </c>
      <c r="N78">
        <v>5602</v>
      </c>
    </row>
    <row r="79" spans="1:14" x14ac:dyDescent="0.3">
      <c r="A79" s="47">
        <v>42887</v>
      </c>
      <c r="B79">
        <v>131664</v>
      </c>
      <c r="C79">
        <v>32387</v>
      </c>
      <c r="D79">
        <v>6268</v>
      </c>
      <c r="E79">
        <v>6638</v>
      </c>
      <c r="J79" s="22">
        <v>42887</v>
      </c>
      <c r="K79">
        <v>131664</v>
      </c>
      <c r="L79">
        <v>32387</v>
      </c>
      <c r="M79">
        <v>6268</v>
      </c>
      <c r="N79">
        <v>6638</v>
      </c>
    </row>
    <row r="80" spans="1:14" x14ac:dyDescent="0.3">
      <c r="A80" s="47">
        <v>42887</v>
      </c>
      <c r="B80">
        <v>131671</v>
      </c>
      <c r="C80">
        <v>30869</v>
      </c>
      <c r="D80">
        <v>3860</v>
      </c>
      <c r="E80">
        <v>5419</v>
      </c>
      <c r="J80" s="22">
        <v>42887</v>
      </c>
      <c r="K80">
        <v>131671</v>
      </c>
      <c r="L80">
        <v>30869</v>
      </c>
      <c r="M80">
        <v>3860</v>
      </c>
      <c r="N80">
        <v>5419</v>
      </c>
    </row>
    <row r="81" spans="1:14" x14ac:dyDescent="0.3">
      <c r="A81" s="47">
        <v>42887</v>
      </c>
      <c r="B81">
        <v>132237</v>
      </c>
      <c r="C81">
        <v>30713</v>
      </c>
      <c r="D81">
        <v>5770</v>
      </c>
      <c r="E81">
        <v>4286</v>
      </c>
      <c r="J81" s="22">
        <v>42887</v>
      </c>
      <c r="K81">
        <v>132237</v>
      </c>
      <c r="L81">
        <v>30713</v>
      </c>
      <c r="M81">
        <v>5770</v>
      </c>
      <c r="N81">
        <v>4286</v>
      </c>
    </row>
    <row r="82" spans="1:14" x14ac:dyDescent="0.3">
      <c r="A82" s="47">
        <v>42887</v>
      </c>
      <c r="B82">
        <v>132238</v>
      </c>
      <c r="C82">
        <v>32499</v>
      </c>
      <c r="D82">
        <v>4680</v>
      </c>
      <c r="E82">
        <v>11590</v>
      </c>
      <c r="J82" s="22">
        <v>42887</v>
      </c>
      <c r="K82">
        <v>132238</v>
      </c>
      <c r="L82">
        <v>32499</v>
      </c>
      <c r="M82">
        <v>4680</v>
      </c>
      <c r="N82">
        <v>11590</v>
      </c>
    </row>
    <row r="83" spans="1:14" x14ac:dyDescent="0.3">
      <c r="A83" s="47">
        <v>42887</v>
      </c>
      <c r="B83">
        <v>132245</v>
      </c>
      <c r="C83">
        <v>32135</v>
      </c>
      <c r="D83">
        <v>6711</v>
      </c>
      <c r="E83">
        <v>6613</v>
      </c>
      <c r="J83" s="22">
        <v>42887</v>
      </c>
      <c r="K83">
        <v>132245</v>
      </c>
      <c r="L83">
        <v>32135</v>
      </c>
      <c r="M83">
        <v>6711</v>
      </c>
      <c r="N83">
        <v>6613</v>
      </c>
    </row>
    <row r="84" spans="1:14" x14ac:dyDescent="0.3">
      <c r="A84" s="47">
        <v>42887</v>
      </c>
      <c r="B84">
        <v>132247</v>
      </c>
      <c r="C84">
        <v>21570</v>
      </c>
      <c r="D84">
        <v>4312</v>
      </c>
      <c r="E84">
        <v>1171</v>
      </c>
      <c r="J84" s="22">
        <v>42887</v>
      </c>
      <c r="K84">
        <v>132247</v>
      </c>
      <c r="L84">
        <v>21570</v>
      </c>
      <c r="M84">
        <v>4312</v>
      </c>
      <c r="N84">
        <v>1171</v>
      </c>
    </row>
    <row r="85" spans="1:14" x14ac:dyDescent="0.3">
      <c r="A85" s="47">
        <v>42887</v>
      </c>
      <c r="B85">
        <v>132248</v>
      </c>
      <c r="C85">
        <v>32127</v>
      </c>
      <c r="D85">
        <v>6356</v>
      </c>
      <c r="E85">
        <v>6656</v>
      </c>
      <c r="J85" s="22">
        <v>42887</v>
      </c>
      <c r="K85">
        <v>132248</v>
      </c>
      <c r="L85">
        <v>32127</v>
      </c>
      <c r="M85">
        <v>6356</v>
      </c>
      <c r="N85">
        <v>6656</v>
      </c>
    </row>
    <row r="86" spans="1:14" x14ac:dyDescent="0.3">
      <c r="A86" s="47">
        <v>42887</v>
      </c>
      <c r="B86">
        <v>132249</v>
      </c>
      <c r="C86">
        <v>32933</v>
      </c>
      <c r="D86">
        <v>5791</v>
      </c>
      <c r="E86">
        <v>5634</v>
      </c>
      <c r="J86" s="22">
        <v>42887</v>
      </c>
      <c r="K86">
        <v>132249</v>
      </c>
      <c r="L86">
        <v>32933</v>
      </c>
      <c r="M86">
        <v>5791</v>
      </c>
      <c r="N86">
        <v>5634</v>
      </c>
    </row>
    <row r="87" spans="1:14" x14ac:dyDescent="0.3">
      <c r="A87" s="47">
        <v>42887</v>
      </c>
      <c r="B87">
        <v>132253</v>
      </c>
      <c r="C87">
        <v>32509</v>
      </c>
      <c r="D87">
        <v>6941</v>
      </c>
      <c r="E87">
        <v>6274</v>
      </c>
      <c r="J87" s="22">
        <v>42887</v>
      </c>
      <c r="K87">
        <v>132253</v>
      </c>
      <c r="L87">
        <v>32509</v>
      </c>
      <c r="M87">
        <v>6941</v>
      </c>
      <c r="N87">
        <v>6274</v>
      </c>
    </row>
    <row r="88" spans="1:14" x14ac:dyDescent="0.3">
      <c r="A88" s="47">
        <v>42887</v>
      </c>
      <c r="B88">
        <v>132254</v>
      </c>
      <c r="C88">
        <v>32403</v>
      </c>
      <c r="D88">
        <v>8584</v>
      </c>
      <c r="E88">
        <v>5843</v>
      </c>
      <c r="J88" s="22">
        <v>42887</v>
      </c>
      <c r="K88">
        <v>132254</v>
      </c>
      <c r="L88">
        <v>32403</v>
      </c>
      <c r="M88">
        <v>8584</v>
      </c>
      <c r="N88">
        <v>5843</v>
      </c>
    </row>
    <row r="89" spans="1:14" x14ac:dyDescent="0.3">
      <c r="A89" s="47">
        <v>42887</v>
      </c>
      <c r="B89">
        <v>132255</v>
      </c>
      <c r="C89">
        <v>32422</v>
      </c>
      <c r="D89">
        <v>8167</v>
      </c>
      <c r="E89">
        <v>5598</v>
      </c>
      <c r="J89" s="22">
        <v>42887</v>
      </c>
      <c r="K89">
        <v>132255</v>
      </c>
      <c r="L89">
        <v>32422</v>
      </c>
      <c r="M89">
        <v>8167</v>
      </c>
      <c r="N89">
        <v>5598</v>
      </c>
    </row>
    <row r="90" spans="1:14" x14ac:dyDescent="0.3">
      <c r="A90" s="47">
        <v>42887</v>
      </c>
      <c r="B90">
        <v>132264</v>
      </c>
      <c r="C90">
        <v>30410</v>
      </c>
      <c r="D90">
        <v>5524</v>
      </c>
      <c r="E90">
        <v>5459</v>
      </c>
      <c r="J90" s="22">
        <v>42887</v>
      </c>
      <c r="K90">
        <v>132264</v>
      </c>
      <c r="L90">
        <v>30410</v>
      </c>
      <c r="M90">
        <v>5524</v>
      </c>
      <c r="N90">
        <v>5459</v>
      </c>
    </row>
    <row r="91" spans="1:14" x14ac:dyDescent="0.3">
      <c r="A91" s="47">
        <v>42887</v>
      </c>
      <c r="B91">
        <v>132265</v>
      </c>
      <c r="C91">
        <v>32504</v>
      </c>
      <c r="D91">
        <v>7941</v>
      </c>
      <c r="E91">
        <v>5689</v>
      </c>
      <c r="J91" s="22">
        <v>42887</v>
      </c>
      <c r="K91">
        <v>132265</v>
      </c>
      <c r="L91">
        <v>32504</v>
      </c>
      <c r="M91">
        <v>7941</v>
      </c>
      <c r="N91">
        <v>5689</v>
      </c>
    </row>
    <row r="92" spans="1:14" x14ac:dyDescent="0.3">
      <c r="A92" s="47">
        <v>42887</v>
      </c>
      <c r="B92">
        <v>132268</v>
      </c>
      <c r="C92">
        <v>31744</v>
      </c>
      <c r="D92">
        <v>7241</v>
      </c>
      <c r="E92">
        <v>5685</v>
      </c>
      <c r="J92" s="22">
        <v>42887</v>
      </c>
      <c r="K92">
        <v>132268</v>
      </c>
      <c r="L92">
        <v>31744</v>
      </c>
      <c r="M92">
        <v>7241</v>
      </c>
      <c r="N92">
        <v>5685</v>
      </c>
    </row>
    <row r="93" spans="1:14" x14ac:dyDescent="0.3">
      <c r="A93" s="47">
        <v>42887</v>
      </c>
      <c r="B93">
        <v>133718</v>
      </c>
      <c r="C93">
        <v>29509</v>
      </c>
      <c r="D93">
        <v>827</v>
      </c>
      <c r="E93">
        <v>3262</v>
      </c>
      <c r="J93" s="22">
        <v>42887</v>
      </c>
      <c r="K93">
        <v>133718</v>
      </c>
      <c r="L93">
        <v>29509</v>
      </c>
      <c r="M93">
        <v>827</v>
      </c>
      <c r="N93">
        <v>3262</v>
      </c>
    </row>
    <row r="94" spans="1:14" x14ac:dyDescent="0.3">
      <c r="A94" s="47">
        <v>42887</v>
      </c>
      <c r="B94">
        <v>133721</v>
      </c>
      <c r="C94">
        <v>32494</v>
      </c>
      <c r="D94">
        <v>8164</v>
      </c>
      <c r="E94">
        <v>5431</v>
      </c>
      <c r="J94" s="22">
        <v>42887</v>
      </c>
      <c r="K94">
        <v>133721</v>
      </c>
      <c r="L94">
        <v>32494</v>
      </c>
      <c r="M94">
        <v>8164</v>
      </c>
      <c r="N94">
        <v>5431</v>
      </c>
    </row>
    <row r="95" spans="1:14" x14ac:dyDescent="0.3">
      <c r="A95" s="47">
        <v>42887</v>
      </c>
      <c r="B95">
        <v>133722</v>
      </c>
      <c r="C95">
        <v>31133</v>
      </c>
      <c r="D95">
        <v>7400</v>
      </c>
      <c r="E95">
        <v>4756</v>
      </c>
      <c r="J95" s="22">
        <v>42887</v>
      </c>
      <c r="K95">
        <v>133722</v>
      </c>
      <c r="L95">
        <v>31133</v>
      </c>
      <c r="M95">
        <v>7400</v>
      </c>
      <c r="N95">
        <v>4756</v>
      </c>
    </row>
    <row r="96" spans="1:14" x14ac:dyDescent="0.3">
      <c r="A96" s="47">
        <v>42887</v>
      </c>
      <c r="B96">
        <v>133724</v>
      </c>
      <c r="C96">
        <v>32209</v>
      </c>
      <c r="D96">
        <v>6528</v>
      </c>
      <c r="E96">
        <v>5771</v>
      </c>
      <c r="J96" s="22">
        <v>42887</v>
      </c>
      <c r="K96">
        <v>133724</v>
      </c>
      <c r="L96">
        <v>32209</v>
      </c>
      <c r="M96">
        <v>6528</v>
      </c>
      <c r="N96">
        <v>5771</v>
      </c>
    </row>
    <row r="97" spans="1:14" x14ac:dyDescent="0.3">
      <c r="A97" s="47">
        <v>42887</v>
      </c>
      <c r="B97">
        <v>134735</v>
      </c>
      <c r="C97">
        <v>32489</v>
      </c>
      <c r="D97">
        <v>6571</v>
      </c>
      <c r="E97">
        <v>5514</v>
      </c>
      <c r="J97" s="22">
        <v>42887</v>
      </c>
      <c r="K97">
        <v>134735</v>
      </c>
      <c r="L97">
        <v>32489</v>
      </c>
      <c r="M97">
        <v>6571</v>
      </c>
      <c r="N97">
        <v>5514</v>
      </c>
    </row>
    <row r="98" spans="1:14" x14ac:dyDescent="0.3">
      <c r="A98" s="47">
        <v>42887</v>
      </c>
      <c r="B98">
        <v>134736</v>
      </c>
      <c r="C98">
        <v>27073</v>
      </c>
      <c r="D98">
        <v>5245</v>
      </c>
      <c r="E98">
        <v>7615</v>
      </c>
      <c r="J98" s="22">
        <v>42887</v>
      </c>
      <c r="K98">
        <v>134736</v>
      </c>
      <c r="L98">
        <v>27073</v>
      </c>
      <c r="M98">
        <v>5245</v>
      </c>
      <c r="N98">
        <v>7615</v>
      </c>
    </row>
    <row r="99" spans="1:14" x14ac:dyDescent="0.3">
      <c r="A99" s="47">
        <v>42887</v>
      </c>
      <c r="B99">
        <v>134737</v>
      </c>
      <c r="C99">
        <v>32504</v>
      </c>
      <c r="D99">
        <v>5743</v>
      </c>
      <c r="E99">
        <v>5906</v>
      </c>
      <c r="J99" s="22">
        <v>42887</v>
      </c>
      <c r="K99">
        <v>134737</v>
      </c>
      <c r="L99">
        <v>32504</v>
      </c>
      <c r="M99">
        <v>5743</v>
      </c>
      <c r="N99">
        <v>5906</v>
      </c>
    </row>
    <row r="100" spans="1:14" x14ac:dyDescent="0.3">
      <c r="A100" s="47">
        <v>42887</v>
      </c>
      <c r="B100">
        <v>134738</v>
      </c>
      <c r="C100">
        <v>29103</v>
      </c>
      <c r="D100">
        <v>4951</v>
      </c>
      <c r="E100">
        <v>2795</v>
      </c>
      <c r="J100" s="22">
        <v>42887</v>
      </c>
      <c r="K100">
        <v>134738</v>
      </c>
      <c r="L100">
        <v>29103</v>
      </c>
      <c r="M100">
        <v>4951</v>
      </c>
      <c r="N100">
        <v>2795</v>
      </c>
    </row>
    <row r="101" spans="1:14" x14ac:dyDescent="0.3">
      <c r="A101" s="47">
        <v>42887</v>
      </c>
      <c r="B101">
        <v>134739</v>
      </c>
      <c r="C101">
        <v>32401</v>
      </c>
      <c r="D101">
        <v>5140</v>
      </c>
      <c r="E101">
        <v>9018</v>
      </c>
      <c r="J101" s="22">
        <v>42887</v>
      </c>
      <c r="K101">
        <v>134739</v>
      </c>
      <c r="L101">
        <v>32401</v>
      </c>
      <c r="M101">
        <v>5140</v>
      </c>
      <c r="N101">
        <v>9018</v>
      </c>
    </row>
    <row r="102" spans="1:14" x14ac:dyDescent="0.3">
      <c r="A102" s="47">
        <v>42887</v>
      </c>
      <c r="B102">
        <v>134743</v>
      </c>
      <c r="C102">
        <v>30795</v>
      </c>
      <c r="D102">
        <v>5619</v>
      </c>
      <c r="E102">
        <v>4193</v>
      </c>
      <c r="J102" s="22">
        <v>42887</v>
      </c>
      <c r="K102">
        <v>134743</v>
      </c>
      <c r="L102">
        <v>30795</v>
      </c>
      <c r="M102">
        <v>5619</v>
      </c>
      <c r="N102">
        <v>4193</v>
      </c>
    </row>
    <row r="103" spans="1:14" x14ac:dyDescent="0.3">
      <c r="A103" s="47">
        <v>42887</v>
      </c>
      <c r="B103">
        <v>134744</v>
      </c>
      <c r="C103">
        <v>32883</v>
      </c>
      <c r="D103">
        <v>7889</v>
      </c>
      <c r="E103">
        <v>5885</v>
      </c>
      <c r="J103" s="22">
        <v>42887</v>
      </c>
      <c r="K103">
        <v>134744</v>
      </c>
      <c r="L103">
        <v>32883</v>
      </c>
      <c r="M103">
        <v>7889</v>
      </c>
      <c r="N103">
        <v>5885</v>
      </c>
    </row>
    <row r="104" spans="1:14" x14ac:dyDescent="0.3">
      <c r="A104" s="47">
        <v>42887</v>
      </c>
      <c r="B104">
        <v>134745</v>
      </c>
      <c r="C104">
        <v>32422</v>
      </c>
      <c r="D104">
        <v>7747</v>
      </c>
      <c r="E104">
        <v>6958</v>
      </c>
      <c r="J104" s="22">
        <v>42887</v>
      </c>
      <c r="K104">
        <v>134745</v>
      </c>
      <c r="L104">
        <v>32422</v>
      </c>
      <c r="M104">
        <v>7747</v>
      </c>
      <c r="N104">
        <v>6958</v>
      </c>
    </row>
    <row r="105" spans="1:14" x14ac:dyDescent="0.3">
      <c r="A105" s="47">
        <v>42887</v>
      </c>
      <c r="B105">
        <v>134746</v>
      </c>
      <c r="C105">
        <v>32782</v>
      </c>
      <c r="D105">
        <v>5131</v>
      </c>
      <c r="E105">
        <v>8551</v>
      </c>
      <c r="J105" s="22">
        <v>42887</v>
      </c>
      <c r="K105">
        <v>134746</v>
      </c>
      <c r="L105">
        <v>32782</v>
      </c>
      <c r="M105">
        <v>5131</v>
      </c>
      <c r="N105">
        <v>8551</v>
      </c>
    </row>
    <row r="106" spans="1:14" x14ac:dyDescent="0.3">
      <c r="A106" s="47">
        <v>42887</v>
      </c>
      <c r="B106">
        <v>134748</v>
      </c>
      <c r="C106">
        <v>32472</v>
      </c>
      <c r="D106">
        <v>7437</v>
      </c>
      <c r="E106">
        <v>5648</v>
      </c>
      <c r="J106" s="22">
        <v>42887</v>
      </c>
      <c r="K106">
        <v>134748</v>
      </c>
      <c r="L106">
        <v>32472</v>
      </c>
      <c r="M106">
        <v>7437</v>
      </c>
      <c r="N106">
        <v>5648</v>
      </c>
    </row>
    <row r="107" spans="1:14" x14ac:dyDescent="0.3">
      <c r="A107" s="47">
        <v>42887</v>
      </c>
      <c r="B107">
        <v>13891</v>
      </c>
      <c r="C107">
        <v>30808</v>
      </c>
      <c r="D107">
        <v>23814</v>
      </c>
      <c r="E107">
        <v>5754</v>
      </c>
      <c r="J107" s="22">
        <v>42887</v>
      </c>
      <c r="K107">
        <v>13891</v>
      </c>
      <c r="L107">
        <v>30808</v>
      </c>
      <c r="M107">
        <v>23814</v>
      </c>
      <c r="N107">
        <v>5754</v>
      </c>
    </row>
    <row r="108" spans="1:14" x14ac:dyDescent="0.3">
      <c r="A108" s="47">
        <v>42887</v>
      </c>
      <c r="B108">
        <v>29633</v>
      </c>
      <c r="C108">
        <v>30796</v>
      </c>
      <c r="D108">
        <v>0</v>
      </c>
      <c r="E108">
        <v>30796</v>
      </c>
      <c r="J108" s="22">
        <v>42887</v>
      </c>
      <c r="K108">
        <v>29633</v>
      </c>
      <c r="L108">
        <v>30796</v>
      </c>
      <c r="M108">
        <v>0</v>
      </c>
      <c r="N108">
        <v>30796</v>
      </c>
    </row>
    <row r="109" spans="1:14" x14ac:dyDescent="0.3">
      <c r="A109" s="47">
        <v>42887</v>
      </c>
      <c r="B109">
        <v>29742</v>
      </c>
      <c r="C109">
        <v>30593</v>
      </c>
      <c r="D109">
        <v>24500</v>
      </c>
      <c r="E109">
        <v>3492</v>
      </c>
      <c r="J109" s="22">
        <v>42887</v>
      </c>
      <c r="K109">
        <v>29742</v>
      </c>
      <c r="L109">
        <v>30593</v>
      </c>
      <c r="M109">
        <v>24500</v>
      </c>
      <c r="N109">
        <v>3492</v>
      </c>
    </row>
    <row r="110" spans="1:14" x14ac:dyDescent="0.3">
      <c r="A110" s="47">
        <v>42887</v>
      </c>
      <c r="B110">
        <v>32322</v>
      </c>
      <c r="C110">
        <v>19924</v>
      </c>
      <c r="D110">
        <v>2948</v>
      </c>
      <c r="E110">
        <v>1619</v>
      </c>
      <c r="J110" s="22">
        <v>42887</v>
      </c>
      <c r="K110">
        <v>32322</v>
      </c>
      <c r="L110">
        <v>19924</v>
      </c>
      <c r="M110">
        <v>2948</v>
      </c>
      <c r="N110">
        <v>1619</v>
      </c>
    </row>
    <row r="111" spans="1:14" x14ac:dyDescent="0.3">
      <c r="A111" s="47">
        <v>42887</v>
      </c>
      <c r="B111">
        <v>36040</v>
      </c>
      <c r="C111">
        <v>29384</v>
      </c>
      <c r="D111">
        <v>2980</v>
      </c>
      <c r="E111">
        <v>3830</v>
      </c>
      <c r="J111" s="22">
        <v>42887</v>
      </c>
      <c r="K111">
        <v>36040</v>
      </c>
      <c r="L111">
        <v>29384</v>
      </c>
      <c r="M111">
        <v>2980</v>
      </c>
      <c r="N111">
        <v>3830</v>
      </c>
    </row>
    <row r="112" spans="1:14" x14ac:dyDescent="0.3">
      <c r="A112" s="47">
        <v>42887</v>
      </c>
      <c r="B112">
        <v>37817</v>
      </c>
      <c r="C112">
        <v>29758</v>
      </c>
      <c r="D112">
        <v>5472</v>
      </c>
      <c r="E112">
        <v>5293</v>
      </c>
      <c r="J112" s="22">
        <v>42887</v>
      </c>
      <c r="K112">
        <v>37817</v>
      </c>
      <c r="L112">
        <v>29758</v>
      </c>
      <c r="M112">
        <v>5472</v>
      </c>
      <c r="N112">
        <v>5293</v>
      </c>
    </row>
    <row r="113" spans="1:14" x14ac:dyDescent="0.3">
      <c r="A113" s="47">
        <v>42887</v>
      </c>
      <c r="B113">
        <v>40001</v>
      </c>
      <c r="C113">
        <v>31093</v>
      </c>
      <c r="D113">
        <v>7114</v>
      </c>
      <c r="E113">
        <v>5949</v>
      </c>
      <c r="J113" s="22">
        <v>42887</v>
      </c>
      <c r="K113">
        <v>40001</v>
      </c>
      <c r="L113">
        <v>31093</v>
      </c>
      <c r="M113">
        <v>7114</v>
      </c>
      <c r="N113">
        <v>5949</v>
      </c>
    </row>
    <row r="114" spans="1:14" x14ac:dyDescent="0.3">
      <c r="A114" s="47">
        <v>42887</v>
      </c>
      <c r="B114">
        <v>43798</v>
      </c>
      <c r="C114">
        <v>30686</v>
      </c>
      <c r="D114">
        <v>6029</v>
      </c>
      <c r="E114">
        <v>3750</v>
      </c>
      <c r="J114" s="22">
        <v>42887</v>
      </c>
      <c r="K114">
        <v>43798</v>
      </c>
      <c r="L114">
        <v>30686</v>
      </c>
      <c r="M114">
        <v>6029</v>
      </c>
      <c r="N114">
        <v>3750</v>
      </c>
    </row>
    <row r="115" spans="1:14" x14ac:dyDescent="0.3">
      <c r="A115" s="47">
        <v>42887</v>
      </c>
      <c r="B115">
        <v>44230</v>
      </c>
      <c r="C115">
        <v>30968</v>
      </c>
      <c r="D115">
        <v>25180</v>
      </c>
      <c r="E115">
        <v>4895</v>
      </c>
      <c r="J115" s="22">
        <v>42887</v>
      </c>
      <c r="K115">
        <v>44230</v>
      </c>
      <c r="L115">
        <v>30968</v>
      </c>
      <c r="M115">
        <v>25180</v>
      </c>
      <c r="N115">
        <v>4895</v>
      </c>
    </row>
    <row r="116" spans="1:14" x14ac:dyDescent="0.3">
      <c r="A116" s="47">
        <v>42887</v>
      </c>
      <c r="B116">
        <v>49210</v>
      </c>
      <c r="C116">
        <v>32488</v>
      </c>
      <c r="D116">
        <v>6726</v>
      </c>
      <c r="E116">
        <v>6184</v>
      </c>
      <c r="J116" s="22">
        <v>42887</v>
      </c>
      <c r="K116">
        <v>49210</v>
      </c>
      <c r="L116">
        <v>32488</v>
      </c>
      <c r="M116">
        <v>6726</v>
      </c>
      <c r="N116">
        <v>6184</v>
      </c>
    </row>
    <row r="117" spans="1:14" x14ac:dyDescent="0.3">
      <c r="A117" s="47">
        <v>42887</v>
      </c>
      <c r="B117">
        <v>53077</v>
      </c>
      <c r="C117">
        <v>24367</v>
      </c>
      <c r="D117">
        <v>0</v>
      </c>
      <c r="E117">
        <v>16638</v>
      </c>
      <c r="J117" s="22">
        <v>42887</v>
      </c>
      <c r="K117">
        <v>53077</v>
      </c>
      <c r="L117">
        <v>24367</v>
      </c>
      <c r="M117">
        <v>0</v>
      </c>
      <c r="N117">
        <v>16638</v>
      </c>
    </row>
    <row r="118" spans="1:14" x14ac:dyDescent="0.3">
      <c r="A118" s="47">
        <v>42887</v>
      </c>
      <c r="B118">
        <v>53716</v>
      </c>
      <c r="C118">
        <v>30558</v>
      </c>
      <c r="D118">
        <v>23975</v>
      </c>
      <c r="E118">
        <v>3678</v>
      </c>
      <c r="J118" s="22">
        <v>42887</v>
      </c>
      <c r="K118">
        <v>53716</v>
      </c>
      <c r="L118">
        <v>30558</v>
      </c>
      <c r="M118">
        <v>23975</v>
      </c>
      <c r="N118">
        <v>3678</v>
      </c>
    </row>
    <row r="119" spans="1:14" x14ac:dyDescent="0.3">
      <c r="A119" s="47">
        <v>42887</v>
      </c>
      <c r="B119">
        <v>55341</v>
      </c>
      <c r="C119">
        <v>30600</v>
      </c>
      <c r="D119">
        <v>5100</v>
      </c>
      <c r="E119">
        <v>4015</v>
      </c>
      <c r="J119" s="22">
        <v>42887</v>
      </c>
      <c r="K119">
        <v>55341</v>
      </c>
      <c r="L119">
        <v>30600</v>
      </c>
      <c r="M119">
        <v>5100</v>
      </c>
      <c r="N119">
        <v>4015</v>
      </c>
    </row>
    <row r="120" spans="1:14" x14ac:dyDescent="0.3">
      <c r="A120" s="47">
        <v>42887</v>
      </c>
      <c r="B120">
        <v>55693</v>
      </c>
      <c r="C120">
        <v>21505</v>
      </c>
      <c r="D120">
        <v>3925</v>
      </c>
      <c r="E120">
        <v>1863</v>
      </c>
      <c r="J120" s="22">
        <v>42887</v>
      </c>
      <c r="K120">
        <v>55693</v>
      </c>
      <c r="L120">
        <v>21505</v>
      </c>
      <c r="M120">
        <v>3925</v>
      </c>
      <c r="N120">
        <v>1863</v>
      </c>
    </row>
    <row r="121" spans="1:14" x14ac:dyDescent="0.3">
      <c r="A121" s="47">
        <v>42887</v>
      </c>
      <c r="B121">
        <v>55795</v>
      </c>
      <c r="C121">
        <v>30589</v>
      </c>
      <c r="D121">
        <v>8164</v>
      </c>
      <c r="E121">
        <v>3810</v>
      </c>
      <c r="J121" s="22">
        <v>42887</v>
      </c>
      <c r="K121">
        <v>55795</v>
      </c>
      <c r="L121">
        <v>30589</v>
      </c>
      <c r="M121">
        <v>8164</v>
      </c>
      <c r="N121">
        <v>3810</v>
      </c>
    </row>
    <row r="122" spans="1:14" x14ac:dyDescent="0.3">
      <c r="A122" s="47">
        <v>42887</v>
      </c>
      <c r="B122">
        <v>57471</v>
      </c>
      <c r="C122">
        <v>31164</v>
      </c>
      <c r="D122">
        <v>5495</v>
      </c>
      <c r="E122">
        <v>6758</v>
      </c>
      <c r="J122" s="22">
        <v>42887</v>
      </c>
      <c r="K122">
        <v>57471</v>
      </c>
      <c r="L122">
        <v>31164</v>
      </c>
      <c r="M122">
        <v>5495</v>
      </c>
      <c r="N122">
        <v>6758</v>
      </c>
    </row>
    <row r="123" spans="1:14" x14ac:dyDescent="0.3">
      <c r="A123" s="47">
        <v>42887</v>
      </c>
      <c r="B123">
        <v>64506</v>
      </c>
      <c r="C123">
        <v>30782</v>
      </c>
      <c r="D123">
        <v>7121</v>
      </c>
      <c r="E123">
        <v>3704</v>
      </c>
      <c r="J123" s="22">
        <v>42887</v>
      </c>
      <c r="K123">
        <v>64506</v>
      </c>
      <c r="L123">
        <v>30782</v>
      </c>
      <c r="M123">
        <v>7121</v>
      </c>
      <c r="N123">
        <v>3704</v>
      </c>
    </row>
    <row r="124" spans="1:14" x14ac:dyDescent="0.3">
      <c r="A124" s="47">
        <v>42887</v>
      </c>
      <c r="B124">
        <v>64512</v>
      </c>
      <c r="C124">
        <v>32309</v>
      </c>
      <c r="D124">
        <v>24587</v>
      </c>
      <c r="E124">
        <v>6051</v>
      </c>
      <c r="J124" s="22">
        <v>42887</v>
      </c>
      <c r="K124">
        <v>64512</v>
      </c>
      <c r="L124">
        <v>32309</v>
      </c>
      <c r="M124">
        <v>24587</v>
      </c>
      <c r="N124">
        <v>6051</v>
      </c>
    </row>
    <row r="125" spans="1:14" x14ac:dyDescent="0.3">
      <c r="A125" s="47">
        <v>42887</v>
      </c>
      <c r="B125">
        <v>66867</v>
      </c>
      <c r="C125">
        <v>25747</v>
      </c>
      <c r="D125">
        <v>0</v>
      </c>
      <c r="E125">
        <v>25747</v>
      </c>
      <c r="J125" s="22">
        <v>42887</v>
      </c>
      <c r="K125">
        <v>66867</v>
      </c>
      <c r="L125">
        <v>25747</v>
      </c>
      <c r="M125">
        <v>0</v>
      </c>
      <c r="N125">
        <v>25747</v>
      </c>
    </row>
    <row r="126" spans="1:14" x14ac:dyDescent="0.3">
      <c r="A126" s="47">
        <v>42887</v>
      </c>
      <c r="B126">
        <v>67191</v>
      </c>
      <c r="C126">
        <v>24776</v>
      </c>
      <c r="D126">
        <v>787</v>
      </c>
      <c r="E126">
        <v>9907</v>
      </c>
      <c r="J126" s="22">
        <v>42887</v>
      </c>
      <c r="K126">
        <v>67191</v>
      </c>
      <c r="L126">
        <v>24776</v>
      </c>
      <c r="M126">
        <v>787</v>
      </c>
      <c r="N126">
        <v>9907</v>
      </c>
    </row>
    <row r="127" spans="1:14" x14ac:dyDescent="0.3">
      <c r="A127" s="47">
        <v>42887</v>
      </c>
      <c r="B127">
        <v>67424</v>
      </c>
      <c r="C127">
        <v>23250</v>
      </c>
      <c r="D127">
        <v>0</v>
      </c>
      <c r="E127">
        <v>21680</v>
      </c>
      <c r="J127" s="22">
        <v>42887</v>
      </c>
      <c r="K127">
        <v>67424</v>
      </c>
      <c r="L127">
        <v>23250</v>
      </c>
      <c r="M127">
        <v>0</v>
      </c>
      <c r="N127">
        <v>21680</v>
      </c>
    </row>
    <row r="128" spans="1:14" x14ac:dyDescent="0.3">
      <c r="A128" s="47">
        <v>42887</v>
      </c>
      <c r="B128">
        <v>69150</v>
      </c>
      <c r="C128">
        <v>10436</v>
      </c>
      <c r="D128">
        <v>227</v>
      </c>
      <c r="E128">
        <v>915</v>
      </c>
      <c r="J128" s="22">
        <v>42887</v>
      </c>
      <c r="K128">
        <v>69150</v>
      </c>
      <c r="L128">
        <v>10436</v>
      </c>
      <c r="M128">
        <v>227</v>
      </c>
      <c r="N128">
        <v>915</v>
      </c>
    </row>
    <row r="129" spans="1:14" x14ac:dyDescent="0.3">
      <c r="A129" s="47">
        <v>42887</v>
      </c>
      <c r="B129">
        <v>69172</v>
      </c>
      <c r="C129">
        <v>23482</v>
      </c>
      <c r="D129">
        <v>1885</v>
      </c>
      <c r="E129">
        <v>5311</v>
      </c>
      <c r="J129" s="22">
        <v>42887</v>
      </c>
      <c r="K129">
        <v>69172</v>
      </c>
      <c r="L129">
        <v>23482</v>
      </c>
      <c r="M129">
        <v>1885</v>
      </c>
      <c r="N129">
        <v>5311</v>
      </c>
    </row>
    <row r="130" spans="1:14" x14ac:dyDescent="0.3">
      <c r="A130" s="47">
        <v>42887</v>
      </c>
      <c r="B130">
        <v>69174</v>
      </c>
      <c r="C130">
        <v>29828</v>
      </c>
      <c r="D130">
        <v>664</v>
      </c>
      <c r="E130">
        <v>4544</v>
      </c>
      <c r="J130" s="22">
        <v>42887</v>
      </c>
      <c r="K130">
        <v>69174</v>
      </c>
      <c r="L130">
        <v>29828</v>
      </c>
      <c r="M130">
        <v>664</v>
      </c>
      <c r="N130">
        <v>4544</v>
      </c>
    </row>
    <row r="131" spans="1:14" x14ac:dyDescent="0.3">
      <c r="A131" s="47">
        <v>42887</v>
      </c>
      <c r="B131">
        <v>69179</v>
      </c>
      <c r="C131">
        <v>30601</v>
      </c>
      <c r="D131">
        <v>24845</v>
      </c>
      <c r="E131">
        <v>3893</v>
      </c>
      <c r="J131" s="22">
        <v>42887</v>
      </c>
      <c r="K131">
        <v>69179</v>
      </c>
      <c r="L131">
        <v>30601</v>
      </c>
      <c r="M131">
        <v>24845</v>
      </c>
      <c r="N131">
        <v>3893</v>
      </c>
    </row>
    <row r="132" spans="1:14" x14ac:dyDescent="0.3">
      <c r="A132" s="47">
        <v>42887</v>
      </c>
      <c r="B132">
        <v>70192</v>
      </c>
      <c r="C132">
        <v>32520</v>
      </c>
      <c r="D132">
        <v>6116</v>
      </c>
      <c r="E132">
        <v>6127</v>
      </c>
      <c r="J132" s="22">
        <v>42887</v>
      </c>
      <c r="K132">
        <v>70192</v>
      </c>
      <c r="L132">
        <v>32520</v>
      </c>
      <c r="M132">
        <v>6116</v>
      </c>
      <c r="N132">
        <v>6127</v>
      </c>
    </row>
    <row r="133" spans="1:14" x14ac:dyDescent="0.3">
      <c r="A133" s="47">
        <v>42887</v>
      </c>
      <c r="B133">
        <v>70695</v>
      </c>
      <c r="C133">
        <v>21571</v>
      </c>
      <c r="D133">
        <v>16477</v>
      </c>
      <c r="E133">
        <v>2298</v>
      </c>
      <c r="J133" s="22">
        <v>42887</v>
      </c>
      <c r="K133">
        <v>70695</v>
      </c>
      <c r="L133">
        <v>21571</v>
      </c>
      <c r="M133">
        <v>16477</v>
      </c>
      <c r="N133">
        <v>2298</v>
      </c>
    </row>
    <row r="134" spans="1:14" x14ac:dyDescent="0.3">
      <c r="A134" s="47">
        <v>42887</v>
      </c>
      <c r="B134">
        <v>70750</v>
      </c>
      <c r="C134">
        <v>9047</v>
      </c>
      <c r="D134">
        <v>312</v>
      </c>
      <c r="E134">
        <v>1093</v>
      </c>
      <c r="J134" s="22">
        <v>42887</v>
      </c>
      <c r="K134">
        <v>70750</v>
      </c>
      <c r="L134">
        <v>9047</v>
      </c>
      <c r="M134">
        <v>312</v>
      </c>
      <c r="N134">
        <v>1093</v>
      </c>
    </row>
    <row r="135" spans="1:14" x14ac:dyDescent="0.3">
      <c r="A135" s="47">
        <v>42887</v>
      </c>
      <c r="B135">
        <v>70883</v>
      </c>
      <c r="C135">
        <v>27750</v>
      </c>
      <c r="D135">
        <v>560</v>
      </c>
      <c r="E135">
        <v>8112</v>
      </c>
      <c r="J135" s="22">
        <v>42887</v>
      </c>
      <c r="K135">
        <v>70883</v>
      </c>
      <c r="L135">
        <v>27750</v>
      </c>
      <c r="M135">
        <v>560</v>
      </c>
      <c r="N135">
        <v>8112</v>
      </c>
    </row>
    <row r="136" spans="1:14" x14ac:dyDescent="0.3">
      <c r="A136" s="47">
        <v>42887</v>
      </c>
      <c r="B136">
        <v>72305</v>
      </c>
      <c r="C136">
        <v>32066</v>
      </c>
      <c r="D136">
        <v>895</v>
      </c>
      <c r="E136">
        <v>14440</v>
      </c>
      <c r="J136" s="22">
        <v>42887</v>
      </c>
      <c r="K136">
        <v>72305</v>
      </c>
      <c r="L136">
        <v>32066</v>
      </c>
      <c r="M136">
        <v>895</v>
      </c>
      <c r="N136">
        <v>14440</v>
      </c>
    </row>
    <row r="137" spans="1:14" x14ac:dyDescent="0.3">
      <c r="A137" s="47">
        <v>42887</v>
      </c>
      <c r="B137">
        <v>72327</v>
      </c>
      <c r="C137">
        <v>32453</v>
      </c>
      <c r="D137">
        <v>8076</v>
      </c>
      <c r="E137">
        <v>10055</v>
      </c>
      <c r="J137" s="22">
        <v>42887</v>
      </c>
      <c r="K137">
        <v>72327</v>
      </c>
      <c r="L137">
        <v>32453</v>
      </c>
      <c r="M137">
        <v>8076</v>
      </c>
      <c r="N137">
        <v>10055</v>
      </c>
    </row>
    <row r="138" spans="1:14" x14ac:dyDescent="0.3">
      <c r="A138" s="47">
        <v>42887</v>
      </c>
      <c r="B138">
        <v>72390</v>
      </c>
      <c r="C138">
        <v>32556</v>
      </c>
      <c r="D138">
        <v>6920</v>
      </c>
      <c r="E138">
        <v>5769</v>
      </c>
      <c r="J138" s="22">
        <v>42887</v>
      </c>
      <c r="K138">
        <v>72390</v>
      </c>
      <c r="L138">
        <v>32556</v>
      </c>
      <c r="M138">
        <v>6920</v>
      </c>
      <c r="N138">
        <v>5769</v>
      </c>
    </row>
    <row r="139" spans="1:14" x14ac:dyDescent="0.3">
      <c r="A139" s="47">
        <v>42887</v>
      </c>
      <c r="B139">
        <v>73955</v>
      </c>
      <c r="C139">
        <v>32498</v>
      </c>
      <c r="D139">
        <v>8552</v>
      </c>
      <c r="E139">
        <v>5714</v>
      </c>
      <c r="J139" s="22">
        <v>42887</v>
      </c>
      <c r="K139">
        <v>73955</v>
      </c>
      <c r="L139">
        <v>32498</v>
      </c>
      <c r="M139">
        <v>8552</v>
      </c>
      <c r="N139">
        <v>5714</v>
      </c>
    </row>
    <row r="140" spans="1:14" x14ac:dyDescent="0.3">
      <c r="A140" s="47">
        <v>42887</v>
      </c>
      <c r="B140">
        <v>75022</v>
      </c>
      <c r="C140">
        <v>30667</v>
      </c>
      <c r="D140">
        <v>8147</v>
      </c>
      <c r="E140">
        <v>4783</v>
      </c>
      <c r="J140" s="22">
        <v>42887</v>
      </c>
      <c r="K140">
        <v>75022</v>
      </c>
      <c r="L140">
        <v>30667</v>
      </c>
      <c r="M140">
        <v>8147</v>
      </c>
      <c r="N140">
        <v>4783</v>
      </c>
    </row>
    <row r="141" spans="1:14" x14ac:dyDescent="0.3">
      <c r="A141" s="47">
        <v>42887</v>
      </c>
      <c r="B141">
        <v>75810</v>
      </c>
      <c r="C141">
        <v>32949</v>
      </c>
      <c r="D141">
        <v>548</v>
      </c>
      <c r="E141">
        <v>5910</v>
      </c>
      <c r="J141" s="22">
        <v>42887</v>
      </c>
      <c r="K141">
        <v>75810</v>
      </c>
      <c r="L141">
        <v>32949</v>
      </c>
      <c r="M141">
        <v>548</v>
      </c>
      <c r="N141">
        <v>5910</v>
      </c>
    </row>
    <row r="142" spans="1:14" x14ac:dyDescent="0.3">
      <c r="A142" s="47">
        <v>42887</v>
      </c>
      <c r="B142">
        <v>76241</v>
      </c>
      <c r="C142">
        <v>30522</v>
      </c>
      <c r="D142">
        <v>5717</v>
      </c>
      <c r="E142">
        <v>5150</v>
      </c>
      <c r="J142" s="22">
        <v>42887</v>
      </c>
      <c r="K142">
        <v>76241</v>
      </c>
      <c r="L142">
        <v>30522</v>
      </c>
      <c r="M142">
        <v>5717</v>
      </c>
      <c r="N142">
        <v>5150</v>
      </c>
    </row>
    <row r="143" spans="1:14" x14ac:dyDescent="0.3">
      <c r="A143" s="47">
        <v>42887</v>
      </c>
      <c r="B143">
        <v>77130</v>
      </c>
      <c r="C143">
        <v>32402</v>
      </c>
      <c r="D143">
        <v>6462</v>
      </c>
      <c r="E143">
        <v>6448</v>
      </c>
      <c r="J143" s="22">
        <v>42887</v>
      </c>
      <c r="K143">
        <v>77130</v>
      </c>
      <c r="L143">
        <v>32402</v>
      </c>
      <c r="M143">
        <v>6462</v>
      </c>
      <c r="N143">
        <v>6448</v>
      </c>
    </row>
    <row r="144" spans="1:14" x14ac:dyDescent="0.3">
      <c r="A144" s="47">
        <v>42887</v>
      </c>
      <c r="B144">
        <v>77155</v>
      </c>
      <c r="C144">
        <v>29283</v>
      </c>
      <c r="D144">
        <v>6290</v>
      </c>
      <c r="E144">
        <v>4060</v>
      </c>
      <c r="J144" s="22">
        <v>42887</v>
      </c>
      <c r="K144">
        <v>77155</v>
      </c>
      <c r="L144">
        <v>29283</v>
      </c>
      <c r="M144">
        <v>6290</v>
      </c>
      <c r="N144">
        <v>4060</v>
      </c>
    </row>
    <row r="145" spans="1:14" x14ac:dyDescent="0.3">
      <c r="A145" s="47">
        <v>42887</v>
      </c>
      <c r="B145">
        <v>77711</v>
      </c>
      <c r="C145">
        <v>8632</v>
      </c>
      <c r="D145">
        <v>259</v>
      </c>
      <c r="E145">
        <v>3419</v>
      </c>
      <c r="J145" s="22">
        <v>42887</v>
      </c>
      <c r="K145">
        <v>77711</v>
      </c>
      <c r="L145">
        <v>8632</v>
      </c>
      <c r="M145">
        <v>259</v>
      </c>
      <c r="N145">
        <v>3419</v>
      </c>
    </row>
    <row r="146" spans="1:14" x14ac:dyDescent="0.3">
      <c r="A146" s="47">
        <v>42887</v>
      </c>
      <c r="B146">
        <v>78616</v>
      </c>
      <c r="C146">
        <v>32632</v>
      </c>
      <c r="D146">
        <v>1065</v>
      </c>
      <c r="E146">
        <v>5447</v>
      </c>
      <c r="J146" s="22">
        <v>42887</v>
      </c>
      <c r="K146">
        <v>78616</v>
      </c>
      <c r="L146">
        <v>32632</v>
      </c>
      <c r="M146">
        <v>1065</v>
      </c>
      <c r="N146">
        <v>5447</v>
      </c>
    </row>
    <row r="147" spans="1:14" x14ac:dyDescent="0.3">
      <c r="A147" s="47">
        <v>42887</v>
      </c>
      <c r="B147">
        <v>78628</v>
      </c>
      <c r="C147">
        <v>28443</v>
      </c>
      <c r="D147">
        <v>3411</v>
      </c>
      <c r="E147">
        <v>6207</v>
      </c>
      <c r="J147" s="22">
        <v>42887</v>
      </c>
      <c r="K147">
        <v>78628</v>
      </c>
      <c r="L147">
        <v>28443</v>
      </c>
      <c r="M147">
        <v>3411</v>
      </c>
      <c r="N147">
        <v>6207</v>
      </c>
    </row>
    <row r="148" spans="1:14" x14ac:dyDescent="0.3">
      <c r="A148" s="47">
        <v>42887</v>
      </c>
      <c r="B148">
        <v>79859</v>
      </c>
      <c r="C148">
        <v>26780</v>
      </c>
      <c r="D148">
        <v>447</v>
      </c>
      <c r="E148">
        <v>6730</v>
      </c>
      <c r="J148" s="22">
        <v>42887</v>
      </c>
      <c r="K148">
        <v>79859</v>
      </c>
      <c r="L148">
        <v>26780</v>
      </c>
      <c r="M148">
        <v>447</v>
      </c>
      <c r="N148">
        <v>6730</v>
      </c>
    </row>
    <row r="149" spans="1:14" x14ac:dyDescent="0.3">
      <c r="A149" s="47">
        <v>42887</v>
      </c>
      <c r="B149">
        <v>81989</v>
      </c>
      <c r="C149">
        <v>30878</v>
      </c>
      <c r="D149">
        <v>5034</v>
      </c>
      <c r="E149">
        <v>5586</v>
      </c>
      <c r="J149" s="22">
        <v>42887</v>
      </c>
      <c r="K149">
        <v>81989</v>
      </c>
      <c r="L149">
        <v>30878</v>
      </c>
      <c r="M149">
        <v>5034</v>
      </c>
      <c r="N149">
        <v>5586</v>
      </c>
    </row>
    <row r="150" spans="1:14" x14ac:dyDescent="0.3">
      <c r="A150" s="47">
        <v>42887</v>
      </c>
      <c r="B150">
        <v>82553</v>
      </c>
      <c r="C150">
        <v>32646</v>
      </c>
      <c r="D150">
        <v>507</v>
      </c>
      <c r="E150">
        <v>5128</v>
      </c>
      <c r="J150" s="22">
        <v>42887</v>
      </c>
      <c r="K150">
        <v>82553</v>
      </c>
      <c r="L150">
        <v>32646</v>
      </c>
      <c r="M150">
        <v>507</v>
      </c>
      <c r="N150">
        <v>5128</v>
      </c>
    </row>
    <row r="151" spans="1:14" x14ac:dyDescent="0.3">
      <c r="A151" s="47">
        <v>42887</v>
      </c>
      <c r="B151">
        <v>82592</v>
      </c>
      <c r="C151">
        <v>26501</v>
      </c>
      <c r="D151">
        <v>325</v>
      </c>
      <c r="E151">
        <v>8545</v>
      </c>
      <c r="J151" s="22">
        <v>42887</v>
      </c>
      <c r="K151">
        <v>82592</v>
      </c>
      <c r="L151">
        <v>26501</v>
      </c>
      <c r="M151">
        <v>325</v>
      </c>
      <c r="N151">
        <v>8545</v>
      </c>
    </row>
    <row r="152" spans="1:14" x14ac:dyDescent="0.3">
      <c r="A152" s="47">
        <v>42887</v>
      </c>
      <c r="B152">
        <v>89017</v>
      </c>
      <c r="C152">
        <v>30678</v>
      </c>
      <c r="D152">
        <v>6099</v>
      </c>
      <c r="E152">
        <v>7329</v>
      </c>
      <c r="J152" s="22">
        <v>42887</v>
      </c>
      <c r="K152">
        <v>89017</v>
      </c>
      <c r="L152">
        <v>30678</v>
      </c>
      <c r="M152">
        <v>6099</v>
      </c>
      <c r="N152">
        <v>7329</v>
      </c>
    </row>
    <row r="153" spans="1:14" x14ac:dyDescent="0.3">
      <c r="A153" s="47">
        <v>42887</v>
      </c>
      <c r="B153">
        <v>94238</v>
      </c>
      <c r="C153">
        <v>28895</v>
      </c>
      <c r="D153">
        <v>5229</v>
      </c>
      <c r="E153">
        <v>5670</v>
      </c>
      <c r="J153" s="22">
        <v>42887</v>
      </c>
      <c r="K153">
        <v>94238</v>
      </c>
      <c r="L153">
        <v>28895</v>
      </c>
      <c r="M153">
        <v>5229</v>
      </c>
      <c r="N153">
        <v>5670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Control Center</vt:lpstr>
      <vt:lpstr>Rule Validation</vt:lpstr>
      <vt:lpstr>Report Validation Scripts</vt:lpstr>
      <vt:lpstr>CF1</vt:lpstr>
      <vt:lpstr>CF4</vt:lpstr>
      <vt:lpstr>CF5</vt:lpstr>
      <vt:lpstr>PP1</vt:lpstr>
      <vt:lpstr>PP2</vt:lpstr>
      <vt:lpstr>PP3</vt:lpstr>
      <vt:lpstr>PP4</vt:lpstr>
      <vt:lpstr>PP5</vt:lpstr>
      <vt:lpstr>PP7 - 15</vt:lpstr>
      <vt:lpstr>PP16</vt:lpstr>
      <vt:lpstr>PP17</vt:lpstr>
      <vt:lpstr>PP18</vt:lpstr>
      <vt:lpstr>PP19</vt:lpstr>
      <vt:lpstr>PP21</vt:lpstr>
      <vt:lpstr>CD1</vt:lpstr>
      <vt:lpstr>CD2</vt:lpstr>
      <vt:lpstr>CD3</vt:lpstr>
      <vt:lpstr>CD4</vt:lpstr>
      <vt:lpstr>ARG1</vt:lpstr>
      <vt:lpstr>ARG4</vt:lpstr>
      <vt:lpstr>ARG5</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2017-06-07T22:34:08Z</dcterms:modified>
</cp:coreProperties>
</file>